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2963" documentId="8_{1F41AA9C-9412-074C-A592-DF955CF6F94D}" xr6:coauthVersionLast="47" xr6:coauthVersionMax="47" xr10:uidLastSave="{AF91D69A-DDB4-4FD7-8172-DB6F477E1C28}"/>
  <bookViews>
    <workbookView xWindow="0" yWindow="0" windowWidth="0" windowHeight="0" activeTab="10" xr2:uid="{00000000-000D-0000-FFFF-FFFF00000000}"/>
  </bookViews>
  <sheets>
    <sheet name="OBLIGATORIOS" sheetId="1" r:id="rId1"/>
    <sheet name="YERIK" sheetId="12" r:id="rId2"/>
    <sheet name="FER" sheetId="2" r:id="rId3"/>
    <sheet name="VELA" sheetId="5" r:id="rId4"/>
    <sheet name="ISAAC" sheetId="4" r:id="rId5"/>
    <sheet name="CHAMPI" sheetId="6" r:id="rId6"/>
    <sheet name="MIKEL" sheetId="3" r:id="rId7"/>
    <sheet name="ALONSO" sheetId="7" r:id="rId8"/>
    <sheet name="RICHIE" sheetId="8" r:id="rId9"/>
    <sheet name="DIEGO J" sheetId="10" r:id="rId10"/>
    <sheet name="NP" sheetId="11" r:id="rId11"/>
    <sheet name="Concentrado" sheetId="13" r:id="rId12"/>
  </sheets>
  <definedNames>
    <definedName name="_xlnm.Print_Area" localSheetId="6">MIKEL!$A$1:$H$59</definedName>
    <definedName name="_xlnm.Print_Area" localSheetId="7">ALONSO!$A$1:$H$62</definedName>
    <definedName name="_xlnm.Print_Area" localSheetId="8">RICHIE!$A$1:$H$61</definedName>
    <definedName name="_xlnm.Print_Area" localSheetId="4">ISAAC!$A$1:$H$60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8" l="1"/>
  <c r="E44" i="8"/>
  <c r="E46" i="8"/>
  <c r="E45" i="8"/>
  <c r="E49" i="8"/>
  <c r="E48" i="8"/>
  <c r="E47" i="8"/>
  <c r="E58" i="7"/>
  <c r="E57" i="7"/>
  <c r="E56" i="7"/>
  <c r="F25" i="6"/>
  <c r="E10" i="6"/>
  <c r="E9" i="6"/>
  <c r="E5" i="6"/>
  <c r="E20" i="5"/>
  <c r="E19" i="5"/>
  <c r="E18" i="5"/>
  <c r="E9" i="5"/>
  <c r="E10" i="5"/>
  <c r="E8" i="5"/>
  <c r="E11" i="5"/>
  <c r="E31" i="2"/>
  <c r="F39" i="8"/>
  <c r="F39" i="7"/>
  <c r="F3" i="4"/>
  <c r="F3" i="3"/>
  <c r="G53" i="2"/>
  <c r="G42" i="2"/>
  <c r="G37" i="2"/>
  <c r="G16" i="2"/>
  <c r="G5" i="2"/>
  <c r="G53" i="12"/>
  <c r="G42" i="12"/>
  <c r="G37" i="12"/>
  <c r="G27" i="12"/>
  <c r="G16" i="12"/>
  <c r="G5" i="12"/>
  <c r="J28" i="13" a="1"/>
  <c r="J28" i="13"/>
  <c r="F43" i="10"/>
  <c r="E44" i="10"/>
  <c r="E51" i="10"/>
  <c r="E50" i="10"/>
  <c r="E49" i="10"/>
  <c r="E48" i="10"/>
  <c r="E47" i="10"/>
  <c r="E46" i="10"/>
  <c r="E45" i="10"/>
  <c r="C10" i="13" a="1"/>
  <c r="C10" i="13"/>
  <c r="B28" i="13" a="1"/>
  <c r="B28" i="13"/>
  <c r="F40" i="12"/>
  <c r="E22" i="12"/>
  <c r="J36" i="13" a="1"/>
  <c r="J36" i="13"/>
  <c r="J26" i="13" a="1"/>
  <c r="J26" i="13"/>
  <c r="J18" i="13" a="1"/>
  <c r="J18" i="13"/>
  <c r="J10" i="13" a="1"/>
  <c r="J10" i="13"/>
  <c r="J2" i="13" a="1"/>
  <c r="J2" i="13"/>
  <c r="I36" i="13" a="1"/>
  <c r="I36" i="13"/>
  <c r="I28" i="13" a="1"/>
  <c r="I28" i="13"/>
  <c r="I26" i="13" a="1"/>
  <c r="I26" i="13"/>
  <c r="I18" i="13" a="1"/>
  <c r="I18" i="13"/>
  <c r="I10" i="13" a="1"/>
  <c r="I10" i="13"/>
  <c r="I2" i="13" a="1"/>
  <c r="I2" i="13"/>
  <c r="H36" i="13" a="1"/>
  <c r="H36" i="13"/>
  <c r="H28" i="13" a="1"/>
  <c r="H28" i="13"/>
  <c r="H26" i="13" a="1"/>
  <c r="H26" i="13"/>
  <c r="H18" i="13" a="1"/>
  <c r="H18" i="13"/>
  <c r="H10" i="13" a="1"/>
  <c r="H10" i="13"/>
  <c r="H2" i="13" a="1"/>
  <c r="H2" i="13"/>
  <c r="G36" i="13" a="1"/>
  <c r="G36" i="13"/>
  <c r="G28" i="13" a="1"/>
  <c r="G28" i="13"/>
  <c r="G26" i="13"/>
  <c r="G18" i="13" a="1"/>
  <c r="G18" i="13"/>
  <c r="G10" i="13" a="1"/>
  <c r="G10" i="13"/>
  <c r="G2" i="13" a="1"/>
  <c r="G2" i="13"/>
  <c r="F36" i="13" a="1"/>
  <c r="F36" i="13"/>
  <c r="F28" i="13" a="1"/>
  <c r="F28" i="13"/>
  <c r="F26" i="13"/>
  <c r="F18" i="13" a="1"/>
  <c r="F18" i="13"/>
  <c r="F10" i="13" a="1"/>
  <c r="F10" i="13"/>
  <c r="F2" i="13" a="1"/>
  <c r="F2" i="13"/>
  <c r="E36" i="13" a="1"/>
  <c r="E36" i="13"/>
  <c r="E28" i="13" a="1"/>
  <c r="E28" i="13"/>
  <c r="E26" i="13"/>
  <c r="E18" i="13" a="1"/>
  <c r="E18" i="13"/>
  <c r="E10" i="13" a="1"/>
  <c r="E10" i="13"/>
  <c r="E2" i="13" a="1"/>
  <c r="E2" i="13"/>
  <c r="D36" i="13" a="1"/>
  <c r="D36" i="13"/>
  <c r="D28" i="13" a="1"/>
  <c r="D28" i="13"/>
  <c r="D26" i="13"/>
  <c r="D18" i="13" a="1"/>
  <c r="D18" i="13"/>
  <c r="D10" i="13" a="1"/>
  <c r="D10" i="13"/>
  <c r="D2" i="13" a="1"/>
  <c r="D2" i="13"/>
  <c r="C36" i="13" a="1"/>
  <c r="C36" i="13"/>
  <c r="C28" i="13" a="1"/>
  <c r="C28" i="13"/>
  <c r="C26" i="13"/>
  <c r="C18" i="13" a="1"/>
  <c r="C18" i="13"/>
  <c r="B36" i="13" a="1"/>
  <c r="B36" i="13"/>
  <c r="B26" i="13"/>
  <c r="B18" i="13" a="1"/>
  <c r="B18" i="13"/>
  <c r="B10" i="13" a="1"/>
  <c r="B10" i="13"/>
  <c r="C2" i="13" a="1"/>
  <c r="C2" i="13"/>
  <c r="B2" i="13" a="1"/>
  <c r="B2" i="13"/>
  <c r="E52" i="3"/>
  <c r="E43" i="7"/>
  <c r="E46" i="7"/>
  <c r="E44" i="7"/>
  <c r="E28" i="4"/>
  <c r="E22" i="10"/>
  <c r="E21" i="10"/>
  <c r="E20" i="12"/>
  <c r="E6" i="6"/>
  <c r="E4" i="6"/>
  <c r="E6" i="4"/>
  <c r="E5" i="4"/>
  <c r="E4" i="5"/>
  <c r="E48" i="5"/>
  <c r="E47" i="5"/>
  <c r="E46" i="5"/>
  <c r="E45" i="5"/>
  <c r="E44" i="5"/>
  <c r="E43" i="5"/>
  <c r="E42" i="5"/>
  <c r="E41" i="5"/>
  <c r="G40" i="5" s="1"/>
  <c r="E58" i="6"/>
  <c r="E52" i="5"/>
  <c r="E29" i="10"/>
  <c r="E30" i="10"/>
  <c r="E29" i="7"/>
  <c r="E27" i="3"/>
  <c r="I3" i="1"/>
  <c r="I20" i="1"/>
  <c r="E42" i="2"/>
  <c r="E41" i="2"/>
  <c r="E10" i="7"/>
  <c r="E9" i="4"/>
  <c r="E4" i="4"/>
  <c r="E7" i="4"/>
  <c r="E7" i="3"/>
  <c r="E47" i="6"/>
  <c r="E20" i="6"/>
  <c r="E33" i="3"/>
  <c r="E6" i="3"/>
  <c r="E9" i="7"/>
  <c r="E55" i="8"/>
  <c r="E43" i="8"/>
  <c r="E10" i="10"/>
  <c r="E7" i="10"/>
  <c r="E9" i="8"/>
  <c r="E60" i="6"/>
  <c r="E53" i="6"/>
  <c r="E59" i="6"/>
  <c r="E57" i="6"/>
  <c r="E56" i="6"/>
  <c r="E55" i="6"/>
  <c r="E54" i="6"/>
  <c r="E46" i="4"/>
  <c r="E8" i="6"/>
  <c r="E60" i="4"/>
  <c r="E48" i="4"/>
  <c r="E47" i="4"/>
  <c r="E34" i="4"/>
  <c r="E20" i="3"/>
  <c r="E19" i="3"/>
  <c r="E17" i="8"/>
  <c r="E11" i="8"/>
  <c r="E10" i="8"/>
  <c r="E6" i="8"/>
  <c r="E29" i="8"/>
  <c r="E61" i="7"/>
  <c r="E55" i="7"/>
  <c r="E45" i="7"/>
  <c r="E28" i="7"/>
  <c r="E4" i="7"/>
  <c r="E56" i="3"/>
  <c r="E11" i="3"/>
  <c r="E8" i="3"/>
  <c r="E46" i="6"/>
  <c r="E32" i="6"/>
  <c r="E26" i="6"/>
  <c r="E22" i="5"/>
  <c r="E59" i="5"/>
  <c r="E49" i="6"/>
  <c r="E27" i="5"/>
  <c r="E15" i="5"/>
  <c r="E57" i="2"/>
  <c r="E48" i="2"/>
  <c r="E43" i="2"/>
  <c r="E4" i="2"/>
  <c r="E8" i="2"/>
  <c r="E52" i="12"/>
  <c r="E41" i="12"/>
  <c r="D31" i="12"/>
  <c r="E19" i="12"/>
  <c r="E18" i="12"/>
  <c r="E15" i="12"/>
  <c r="E16" i="12"/>
  <c r="E4" i="12"/>
  <c r="E8" i="12"/>
  <c r="E20" i="8"/>
  <c r="E59" i="2"/>
  <c r="E55" i="2"/>
  <c r="E54" i="2"/>
  <c r="E53" i="2"/>
  <c r="E52" i="2"/>
  <c r="F51" i="2" s="1"/>
  <c r="E48" i="7"/>
  <c r="E59" i="12"/>
  <c r="E54" i="12"/>
  <c r="E53" i="12"/>
  <c r="E55" i="12"/>
  <c r="E57" i="12"/>
  <c r="E33" i="5"/>
  <c r="E31" i="5"/>
  <c r="E32" i="5"/>
  <c r="E30" i="5"/>
  <c r="E29" i="5"/>
  <c r="E28" i="5"/>
  <c r="E59" i="3"/>
  <c r="E44" i="3"/>
  <c r="E32" i="3"/>
  <c r="C13" i="3"/>
  <c r="C2" i="3"/>
  <c r="E22" i="3"/>
  <c r="E21" i="3"/>
  <c r="E18" i="3"/>
  <c r="E17" i="3"/>
  <c r="E16" i="3"/>
  <c r="E15" i="3"/>
  <c r="F14" i="3" s="1"/>
  <c r="G14" i="3"/>
  <c r="G16" i="3"/>
  <c r="E43" i="6"/>
  <c r="E34" i="7"/>
  <c r="E8" i="7"/>
  <c r="H1" i="3"/>
  <c r="H1" i="12"/>
  <c r="H1" i="2"/>
  <c r="I1" i="5"/>
  <c r="H1" i="6"/>
  <c r="H1" i="4"/>
  <c r="H1" i="7"/>
  <c r="H1" i="8"/>
  <c r="H1" i="10"/>
  <c r="I4" i="1"/>
  <c r="E46" i="12"/>
  <c r="E42" i="12"/>
  <c r="E43" i="12"/>
  <c r="E45" i="12"/>
  <c r="E44" i="12"/>
  <c r="E33" i="12"/>
  <c r="E32" i="12"/>
  <c r="E31" i="12"/>
  <c r="E30" i="12"/>
  <c r="E29" i="12"/>
  <c r="E28" i="12"/>
  <c r="E27" i="12"/>
  <c r="E26" i="12"/>
  <c r="E11" i="12"/>
  <c r="E10" i="12"/>
  <c r="E7" i="12"/>
  <c r="E6" i="12"/>
  <c r="E5" i="12"/>
  <c r="E44" i="2"/>
  <c r="E46" i="2"/>
  <c r="E33" i="2"/>
  <c r="E32" i="2"/>
  <c r="E30" i="2"/>
  <c r="E29" i="2"/>
  <c r="E28" i="2"/>
  <c r="E27" i="2"/>
  <c r="E26" i="2"/>
  <c r="E16" i="2"/>
  <c r="E22" i="2"/>
  <c r="E21" i="2"/>
  <c r="E20" i="2"/>
  <c r="E19" i="2"/>
  <c r="E18" i="2"/>
  <c r="E17" i="2"/>
  <c r="E15" i="2"/>
  <c r="E11" i="2"/>
  <c r="E10" i="2"/>
  <c r="E9" i="2"/>
  <c r="E5" i="2"/>
  <c r="E6" i="2"/>
  <c r="E58" i="5"/>
  <c r="E57" i="5"/>
  <c r="E56" i="5"/>
  <c r="E55" i="5"/>
  <c r="E54" i="5"/>
  <c r="E53" i="5"/>
  <c r="E26" i="5"/>
  <c r="G25" i="5" s="1"/>
  <c r="E21" i="5"/>
  <c r="E17" i="5"/>
  <c r="E16" i="5"/>
  <c r="E6" i="5"/>
  <c r="E7" i="5"/>
  <c r="E5" i="5"/>
  <c r="G3" i="5"/>
  <c r="E58" i="3"/>
  <c r="E57" i="3"/>
  <c r="E55" i="3"/>
  <c r="E54" i="3"/>
  <c r="E53" i="3"/>
  <c r="E47" i="3"/>
  <c r="E46" i="3"/>
  <c r="E43" i="3"/>
  <c r="E42" i="3"/>
  <c r="E45" i="3"/>
  <c r="E41" i="3"/>
  <c r="F40" i="3" s="1"/>
  <c r="E31" i="3"/>
  <c r="E30" i="3"/>
  <c r="E29" i="3"/>
  <c r="E28" i="3"/>
  <c r="E26" i="3"/>
  <c r="F25" i="3" s="1"/>
  <c r="E10" i="3"/>
  <c r="E9" i="3"/>
  <c r="E5" i="3"/>
  <c r="E4" i="3"/>
  <c r="E48" i="6"/>
  <c r="E45" i="6"/>
  <c r="E44" i="6"/>
  <c r="E42" i="6"/>
  <c r="F41" i="6" s="1"/>
  <c r="E33" i="6"/>
  <c r="E28" i="6"/>
  <c r="E31" i="6"/>
  <c r="E30" i="6"/>
  <c r="E29" i="6"/>
  <c r="E27" i="6"/>
  <c r="E19" i="6"/>
  <c r="E18" i="6"/>
  <c r="E17" i="6"/>
  <c r="E16" i="6"/>
  <c r="E15" i="6"/>
  <c r="F14" i="6" s="1"/>
  <c r="E11" i="6"/>
  <c r="E7" i="6"/>
  <c r="E59" i="4"/>
  <c r="E58" i="4"/>
  <c r="E57" i="4"/>
  <c r="E56" i="4"/>
  <c r="E55" i="4"/>
  <c r="E54" i="4"/>
  <c r="E53" i="4"/>
  <c r="F52" i="4" s="1"/>
  <c r="E44" i="4"/>
  <c r="E43" i="4"/>
  <c r="E45" i="4"/>
  <c r="E42" i="4"/>
  <c r="F41" i="4" s="1"/>
  <c r="E33" i="4"/>
  <c r="E32" i="4"/>
  <c r="E31" i="4"/>
  <c r="E30" i="4"/>
  <c r="E29" i="4"/>
  <c r="E27" i="4"/>
  <c r="F26" i="4" s="1"/>
  <c r="E21" i="4"/>
  <c r="E20" i="4"/>
  <c r="E19" i="4"/>
  <c r="E18" i="4"/>
  <c r="E17" i="4"/>
  <c r="E16" i="4"/>
  <c r="F15" i="4" s="1"/>
  <c r="E11" i="4"/>
  <c r="E10" i="4"/>
  <c r="E8" i="4"/>
  <c r="E60" i="7"/>
  <c r="E59" i="7"/>
  <c r="E54" i="7"/>
  <c r="F53" i="7" s="1"/>
  <c r="E50" i="7"/>
  <c r="E47" i="7"/>
  <c r="E49" i="7"/>
  <c r="F42" i="7" s="1"/>
  <c r="E33" i="7"/>
  <c r="E32" i="7"/>
  <c r="E31" i="7"/>
  <c r="E30" i="7"/>
  <c r="E27" i="7"/>
  <c r="F26" i="7" s="1"/>
  <c r="E21" i="7"/>
  <c r="E20" i="7"/>
  <c r="E19" i="7"/>
  <c r="E18" i="7"/>
  <c r="E17" i="7"/>
  <c r="E16" i="7"/>
  <c r="F15" i="7" s="1"/>
  <c r="E7" i="7"/>
  <c r="E6" i="7"/>
  <c r="E5" i="7"/>
  <c r="E11" i="7"/>
  <c r="E61" i="8"/>
  <c r="E60" i="8"/>
  <c r="E59" i="8"/>
  <c r="E58" i="8"/>
  <c r="E57" i="8"/>
  <c r="E56" i="8"/>
  <c r="E54" i="8"/>
  <c r="F53" i="8" s="1"/>
  <c r="E50" i="8"/>
  <c r="E33" i="8"/>
  <c r="E32" i="8"/>
  <c r="E31" i="8"/>
  <c r="E30" i="8"/>
  <c r="E28" i="8"/>
  <c r="E27" i="8"/>
  <c r="E26" i="8"/>
  <c r="F25" i="8" s="1"/>
  <c r="E22" i="8"/>
  <c r="E21" i="8"/>
  <c r="E19" i="8"/>
  <c r="E18" i="8"/>
  <c r="E16" i="8"/>
  <c r="E15" i="8"/>
  <c r="F14" i="8" s="1"/>
  <c r="E7" i="8"/>
  <c r="E5" i="8"/>
  <c r="E8" i="8"/>
  <c r="E4" i="8"/>
  <c r="F3" i="8" s="1"/>
  <c r="E62" i="10"/>
  <c r="E61" i="10"/>
  <c r="E60" i="10"/>
  <c r="E59" i="10"/>
  <c r="E58" i="10"/>
  <c r="E57" i="10"/>
  <c r="E56" i="10"/>
  <c r="E55" i="10"/>
  <c r="E34" i="10"/>
  <c r="E33" i="10"/>
  <c r="E32" i="10"/>
  <c r="E31" i="10"/>
  <c r="E28" i="10"/>
  <c r="E27" i="10"/>
  <c r="F26" i="10" s="1"/>
  <c r="E23" i="10"/>
  <c r="E20" i="10"/>
  <c r="E19" i="10"/>
  <c r="E18" i="10"/>
  <c r="E17" i="10"/>
  <c r="E16" i="10"/>
  <c r="E11" i="10"/>
  <c r="E4" i="10"/>
  <c r="E9" i="10"/>
  <c r="E8" i="10"/>
  <c r="E6" i="10"/>
  <c r="E5" i="10"/>
  <c r="F3" i="12"/>
  <c r="F3" i="2"/>
  <c r="G41" i="6"/>
  <c r="G43" i="6"/>
  <c r="F51" i="12"/>
  <c r="G51" i="12"/>
  <c r="C50" i="12"/>
  <c r="G40" i="12"/>
  <c r="C39" i="12"/>
  <c r="F37" i="12"/>
  <c r="E11" i="11" s="1"/>
  <c r="C35" i="12"/>
  <c r="F25" i="12"/>
  <c r="G25" i="12"/>
  <c r="C24" i="12"/>
  <c r="C13" i="12"/>
  <c r="G3" i="12"/>
  <c r="C2" i="12"/>
  <c r="F38" i="4"/>
  <c r="E8" i="11"/>
  <c r="G38" i="4"/>
  <c r="G3" i="2"/>
  <c r="B10" i="11"/>
  <c r="F14" i="2"/>
  <c r="G14" i="2"/>
  <c r="C10" i="11"/>
  <c r="F25" i="2"/>
  <c r="G25" i="2"/>
  <c r="G27" i="2" s="1"/>
  <c r="D10" i="11"/>
  <c r="F37" i="2"/>
  <c r="E10" i="11"/>
  <c r="G51" i="2"/>
  <c r="G10" i="11"/>
  <c r="C6" i="11"/>
  <c r="G25" i="3"/>
  <c r="D6" i="11"/>
  <c r="F37" i="3"/>
  <c r="E6" i="11"/>
  <c r="G40" i="3"/>
  <c r="G42" i="3"/>
  <c r="F6" i="11"/>
  <c r="G15" i="4"/>
  <c r="C8" i="11"/>
  <c r="G26" i="4"/>
  <c r="D8" i="11"/>
  <c r="G41" i="4"/>
  <c r="F8" i="11"/>
  <c r="G52" i="4"/>
  <c r="G8" i="11"/>
  <c r="H3" i="5"/>
  <c r="B9" i="11"/>
  <c r="H25" i="5"/>
  <c r="D9" i="11"/>
  <c r="F37" i="5"/>
  <c r="E9" i="11"/>
  <c r="H40" i="5"/>
  <c r="F9" i="11"/>
  <c r="G14" i="6"/>
  <c r="C7" i="11"/>
  <c r="F38" i="6"/>
  <c r="E7" i="11"/>
  <c r="F7" i="11"/>
  <c r="G15" i="7"/>
  <c r="C5" i="11"/>
  <c r="G26" i="7"/>
  <c r="D5" i="11"/>
  <c r="E5" i="11"/>
  <c r="G42" i="7"/>
  <c r="F5" i="11"/>
  <c r="G53" i="7"/>
  <c r="G5" i="11"/>
  <c r="G3" i="8"/>
  <c r="B4" i="11"/>
  <c r="G14" i="8"/>
  <c r="C4" i="11"/>
  <c r="G25" i="8"/>
  <c r="G27" i="8"/>
  <c r="D4" i="11"/>
  <c r="E4" i="11"/>
  <c r="G53" i="8"/>
  <c r="G4" i="11"/>
  <c r="F15" i="10"/>
  <c r="G15" i="10"/>
  <c r="C3" i="11"/>
  <c r="G26" i="10"/>
  <c r="D3" i="11"/>
  <c r="F40" i="10"/>
  <c r="E3" i="11"/>
  <c r="F54" i="10"/>
  <c r="G54" i="10"/>
  <c r="G3" i="11"/>
  <c r="G56" i="10"/>
  <c r="C53" i="10"/>
  <c r="C42" i="10"/>
  <c r="G40" i="10"/>
  <c r="C37" i="10"/>
  <c r="G28" i="10"/>
  <c r="C25" i="10"/>
  <c r="G17" i="10"/>
  <c r="C14" i="10"/>
  <c r="C2" i="10"/>
  <c r="G55" i="8"/>
  <c r="C52" i="8"/>
  <c r="C41" i="8"/>
  <c r="G39" i="8"/>
  <c r="C36" i="8"/>
  <c r="C24" i="8"/>
  <c r="G16" i="8"/>
  <c r="C13" i="8"/>
  <c r="G5" i="8"/>
  <c r="C2" i="8"/>
  <c r="G55" i="7"/>
  <c r="C52" i="7"/>
  <c r="G44" i="7"/>
  <c r="C41" i="7"/>
  <c r="G39" i="7"/>
  <c r="C36" i="7"/>
  <c r="G28" i="7"/>
  <c r="C25" i="7"/>
  <c r="G17" i="7"/>
  <c r="C14" i="7"/>
  <c r="C2" i="7"/>
  <c r="E51" i="6"/>
  <c r="E40" i="6"/>
  <c r="G38" i="6"/>
  <c r="C36" i="6"/>
  <c r="E24" i="6"/>
  <c r="G16" i="6"/>
  <c r="E13" i="6"/>
  <c r="E2" i="6"/>
  <c r="E50" i="5"/>
  <c r="H42" i="5"/>
  <c r="E39" i="5"/>
  <c r="G37" i="5"/>
  <c r="C35" i="5"/>
  <c r="H27" i="5"/>
  <c r="E24" i="5"/>
  <c r="E13" i="5"/>
  <c r="H5" i="5"/>
  <c r="E2" i="5"/>
  <c r="G54" i="4"/>
  <c r="E51" i="4"/>
  <c r="G43" i="4"/>
  <c r="E40" i="4"/>
  <c r="C36" i="4"/>
  <c r="G28" i="4"/>
  <c r="E25" i="4"/>
  <c r="G17" i="4"/>
  <c r="E14" i="4"/>
  <c r="E2" i="4"/>
  <c r="C50" i="3"/>
  <c r="C39" i="3"/>
  <c r="G37" i="3"/>
  <c r="C35" i="3"/>
  <c r="G27" i="3"/>
  <c r="C24" i="3"/>
  <c r="C50" i="2"/>
  <c r="C39" i="2"/>
  <c r="C35" i="2"/>
  <c r="C24" i="2"/>
  <c r="C13" i="2"/>
  <c r="C2" i="2"/>
  <c r="I21" i="1"/>
  <c r="I22" i="1"/>
  <c r="I16" i="1"/>
  <c r="I17" i="1"/>
  <c r="I18" i="1"/>
  <c r="I19" i="1"/>
  <c r="I12" i="1"/>
  <c r="I7" i="1"/>
  <c r="I6" i="1"/>
  <c r="I5" i="1"/>
  <c r="I11" i="1"/>
  <c r="I13" i="1"/>
  <c r="I8" i="1"/>
  <c r="I15" i="1"/>
  <c r="I10" i="1"/>
  <c r="I9" i="1"/>
  <c r="I14" i="1"/>
  <c r="G3" i="3"/>
  <c r="G11" i="11"/>
  <c r="B11" i="11"/>
  <c r="F11" i="11"/>
  <c r="D11" i="11"/>
  <c r="B6" i="11"/>
  <c r="G5" i="3"/>
  <c r="F3" i="6" l="1"/>
  <c r="F51" i="3"/>
  <c r="G51" i="3" s="1"/>
  <c r="F40" i="2"/>
  <c r="G40" i="2" s="1"/>
  <c r="F14" i="12"/>
  <c r="G14" i="12" s="1"/>
  <c r="F52" i="6"/>
  <c r="G52" i="6" s="1"/>
  <c r="G51" i="5"/>
  <c r="H51" i="5" s="1"/>
  <c r="G25" i="6"/>
  <c r="F3" i="10"/>
  <c r="G3" i="10" s="1"/>
  <c r="G43" i="10"/>
  <c r="F3" i="7"/>
  <c r="G14" i="5"/>
  <c r="H14" i="5" s="1"/>
  <c r="G42" i="8"/>
  <c r="G3" i="4"/>
  <c r="G3" i="6"/>
  <c r="G3" i="7"/>
  <c r="G6" i="11" l="1"/>
  <c r="G53" i="3"/>
  <c r="G1" i="3" s="1"/>
  <c r="H6" i="11" s="1"/>
  <c r="E1" i="3"/>
  <c r="F10" i="11"/>
  <c r="G1" i="2"/>
  <c r="H10" i="11" s="1"/>
  <c r="E1" i="2"/>
  <c r="E1" i="12"/>
  <c r="G1" i="12"/>
  <c r="H11" i="11" s="1"/>
  <c r="C11" i="11"/>
  <c r="G7" i="11"/>
  <c r="G54" i="6"/>
  <c r="G9" i="11"/>
  <c r="H53" i="5"/>
  <c r="D7" i="11"/>
  <c r="G27" i="6"/>
  <c r="F3" i="11"/>
  <c r="G45" i="10"/>
  <c r="B3" i="11"/>
  <c r="G5" i="10"/>
  <c r="G1" i="10" s="1"/>
  <c r="H3" i="11" s="1"/>
  <c r="E1" i="10"/>
  <c r="C9" i="11"/>
  <c r="H16" i="5"/>
  <c r="H1" i="5" s="1"/>
  <c r="H9" i="11" s="1"/>
  <c r="F1" i="5"/>
  <c r="F4" i="11"/>
  <c r="G44" i="8"/>
  <c r="G1" i="8" s="1"/>
  <c r="H4" i="11" s="1"/>
  <c r="E1" i="8"/>
  <c r="B8" i="11"/>
  <c r="G5" i="4"/>
  <c r="G1" i="4" s="1"/>
  <c r="H8" i="11" s="1"/>
  <c r="E1" i="4"/>
  <c r="B7" i="11"/>
  <c r="G5" i="6"/>
  <c r="G1" i="6" s="1"/>
  <c r="H7" i="11" s="1"/>
  <c r="E1" i="6"/>
  <c r="B5" i="11"/>
  <c r="G5" i="7"/>
  <c r="G1" i="7" s="1"/>
  <c r="H5" i="11" s="1"/>
  <c r="E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<sst xmlns="http://schemas.openxmlformats.org/spreadsheetml/2006/main" count="1498" uniqueCount="240">
  <si>
    <t>NOMBRE</t>
  </si>
  <si>
    <t>NIVEL</t>
  </si>
  <si>
    <t>PISO</t>
  </si>
  <si>
    <t>HONGO  ARZON</t>
  </si>
  <si>
    <t>ANILLO</t>
  </si>
  <si>
    <t>SALTO</t>
  </si>
  <si>
    <t>PARALELA</t>
  </si>
  <si>
    <t>FIJA</t>
  </si>
  <si>
    <t>Objetivo AA</t>
  </si>
  <si>
    <t>BRUNO BAEZ</t>
  </si>
  <si>
    <t>MAURO REGAND</t>
  </si>
  <si>
    <t xml:space="preserve">ALFREDO </t>
  </si>
  <si>
    <t>ELIEL</t>
  </si>
  <si>
    <t>JOSE MARIA</t>
  </si>
  <si>
    <t>CARLOS AZNAR</t>
  </si>
  <si>
    <t>DAVID</t>
  </si>
  <si>
    <t>EMI</t>
  </si>
  <si>
    <t>DIEGO CUEVAS</t>
  </si>
  <si>
    <t>DIEGO CHAVEZ</t>
  </si>
  <si>
    <t>NICO FLORES</t>
  </si>
  <si>
    <t>SANTI CAMACHO</t>
  </si>
  <si>
    <t>LEO CAMACHO</t>
  </si>
  <si>
    <t>PATRICIO</t>
  </si>
  <si>
    <t>BRITAN AKIM</t>
  </si>
  <si>
    <t>NICOLAS CAPITANACCI</t>
  </si>
  <si>
    <t>BRUNO JACOBO</t>
  </si>
  <si>
    <t>MAX</t>
  </si>
  <si>
    <t>MARIO</t>
  </si>
  <si>
    <t>SANTIAGO SIGLER</t>
  </si>
  <si>
    <t>Rutina con 3 bonificaciones</t>
  </si>
  <si>
    <t>Rutina con 2 bonificaciones</t>
  </si>
  <si>
    <t>Rutina con 1 bonificacion</t>
  </si>
  <si>
    <t>Rutina sin bonificaciones</t>
  </si>
  <si>
    <t>YERIK</t>
  </si>
  <si>
    <t>N 7</t>
  </si>
  <si>
    <t>AA NP</t>
  </si>
  <si>
    <t>AA</t>
  </si>
  <si>
    <t>NOTA D</t>
  </si>
  <si>
    <t>NP</t>
  </si>
  <si>
    <t>ETAPA DE ELEMENTO</t>
  </si>
  <si>
    <t>NÚM DE ID</t>
  </si>
  <si>
    <t>GRUPO</t>
  </si>
  <si>
    <t>VALOR</t>
  </si>
  <si>
    <t>Valor decimal</t>
  </si>
  <si>
    <t>Redondilla</t>
  </si>
  <si>
    <t>EV</t>
  </si>
  <si>
    <t>X</t>
  </si>
  <si>
    <t>A</t>
  </si>
  <si>
    <t>GRUPOS</t>
  </si>
  <si>
    <t>Probable NF</t>
  </si>
  <si>
    <t>Giro atrás</t>
  </si>
  <si>
    <t>B</t>
  </si>
  <si>
    <t>Arabesca</t>
  </si>
  <si>
    <t>Resorte</t>
  </si>
  <si>
    <t>Mortal agru ade</t>
  </si>
  <si>
    <t>Sissone</t>
  </si>
  <si>
    <t>BPP</t>
  </si>
  <si>
    <t>Mortal Ext atrás</t>
  </si>
  <si>
    <t>ARZONES</t>
  </si>
  <si>
    <t>Molino</t>
  </si>
  <si>
    <t>1/4 Splindle</t>
  </si>
  <si>
    <t>Tijera falsa</t>
  </si>
  <si>
    <t xml:space="preserve">Corte tijera </t>
  </si>
  <si>
    <t>Molino en arzones</t>
  </si>
  <si>
    <t>Bajada lateral</t>
  </si>
  <si>
    <t>Finlandesa</t>
  </si>
  <si>
    <t>ANILLOS</t>
  </si>
  <si>
    <t>L sit colgado</t>
  </si>
  <si>
    <t>Vela</t>
  </si>
  <si>
    <t>Sandwich</t>
  </si>
  <si>
    <t>Inglesa</t>
  </si>
  <si>
    <t>L sit 2"</t>
  </si>
  <si>
    <t>Parado de hombros</t>
  </si>
  <si>
    <t>Dislocada</t>
  </si>
  <si>
    <t xml:space="preserve">Doble atras en c </t>
  </si>
  <si>
    <t>SALTO DE CABALLO</t>
  </si>
  <si>
    <t>SALTOS</t>
  </si>
  <si>
    <t>Tsukahara en carpa</t>
  </si>
  <si>
    <t>PARALELAS</t>
  </si>
  <si>
    <t xml:space="preserve">Alemana </t>
  </si>
  <si>
    <t>Vuelo</t>
  </si>
  <si>
    <t xml:space="preserve">Braq Subida de pecho </t>
  </si>
  <si>
    <t>L-sit</t>
  </si>
  <si>
    <t>Kato</t>
  </si>
  <si>
    <t>Mortal at ext en pun</t>
  </si>
  <si>
    <t>Subida de estomago</t>
  </si>
  <si>
    <t>Cambio sencillo</t>
  </si>
  <si>
    <t>Gigante</t>
  </si>
  <si>
    <t>Descolgada</t>
  </si>
  <si>
    <t>Alemana</t>
  </si>
  <si>
    <t>Impulso a vuelo</t>
  </si>
  <si>
    <t>Mortal atras extendido</t>
  </si>
  <si>
    <t>FER</t>
  </si>
  <si>
    <t>Mortal Ext ade</t>
  </si>
  <si>
    <t>Cheka</t>
  </si>
  <si>
    <t>1/4 de kher</t>
  </si>
  <si>
    <t>1/2 splindle</t>
  </si>
  <si>
    <t>Mantencion a impulso</t>
  </si>
  <si>
    <t>Tsukahara en C</t>
  </si>
  <si>
    <t>Moy extendido</t>
  </si>
  <si>
    <t>C</t>
  </si>
  <si>
    <t>Salvada</t>
  </si>
  <si>
    <t>Cambio directo</t>
  </si>
  <si>
    <t>Doble agrupado atras</t>
  </si>
  <si>
    <t>VELA</t>
  </si>
  <si>
    <t>N 8</t>
  </si>
  <si>
    <t>REQUISITO</t>
  </si>
  <si>
    <t>Flick Flack</t>
  </si>
  <si>
    <t>III</t>
  </si>
  <si>
    <t>Giro y medio atrás</t>
  </si>
  <si>
    <t>IV</t>
  </si>
  <si>
    <t>Tempo</t>
  </si>
  <si>
    <t>Mortal Agru ade</t>
  </si>
  <si>
    <t>II</t>
  </si>
  <si>
    <t>I</t>
  </si>
  <si>
    <t>BPS</t>
  </si>
  <si>
    <t>1/2 Magyar</t>
  </si>
  <si>
    <t>1/2 Sivado</t>
  </si>
  <si>
    <t>Magyar</t>
  </si>
  <si>
    <t>D</t>
  </si>
  <si>
    <t>Circulo frontal</t>
  </si>
  <si>
    <t>1/2 Splindle</t>
  </si>
  <si>
    <t>Thomas</t>
  </si>
  <si>
    <t>L sit</t>
  </si>
  <si>
    <t>Kato 3"</t>
  </si>
  <si>
    <t>Gigante 3"</t>
  </si>
  <si>
    <t>Molino 3"</t>
  </si>
  <si>
    <t>Kenmotsu</t>
  </si>
  <si>
    <t>Felge</t>
  </si>
  <si>
    <t>Voronin</t>
  </si>
  <si>
    <t>Doble extendido atras</t>
  </si>
  <si>
    <t>ISAAC</t>
  </si>
  <si>
    <t>N 9</t>
  </si>
  <si>
    <t>Circulo en suelo</t>
  </si>
  <si>
    <t>Mortal Carp ade</t>
  </si>
  <si>
    <t xml:space="preserve">No doble </t>
  </si>
  <si>
    <t>Inglesa a pajaro</t>
  </si>
  <si>
    <t>Cristo</t>
  </si>
  <si>
    <t>Plancha dorsal</t>
  </si>
  <si>
    <t>Molino Sostenido</t>
  </si>
  <si>
    <t>Balleston aleman braq</t>
  </si>
  <si>
    <t>Imp a manos de braq</t>
  </si>
  <si>
    <t>Gienger</t>
  </si>
  <si>
    <t>Alemana a manos</t>
  </si>
  <si>
    <t xml:space="preserve">Molino </t>
  </si>
  <si>
    <t>Endo</t>
  </si>
  <si>
    <t>CHAMPI</t>
  </si>
  <si>
    <t>Doble en c atrás</t>
  </si>
  <si>
    <t>Doble giro y medio atras</t>
  </si>
  <si>
    <t>Varani</t>
  </si>
  <si>
    <t>Rusa 2"</t>
  </si>
  <si>
    <t>Doble giro atras</t>
  </si>
  <si>
    <t>Disloque</t>
  </si>
  <si>
    <t>Kip</t>
  </si>
  <si>
    <t>kato 3"</t>
  </si>
  <si>
    <t>Inlocada</t>
  </si>
  <si>
    <t>No impulso a manos</t>
  </si>
  <si>
    <t>Cambio</t>
  </si>
  <si>
    <t>Mortal atr ext en pun</t>
  </si>
  <si>
    <t>Gigante x2</t>
  </si>
  <si>
    <t>MIKEL</t>
  </si>
  <si>
    <t>Giro al frente</t>
  </si>
  <si>
    <t>Carpado al frente</t>
  </si>
  <si>
    <t>1/2 Recorrido lateral</t>
  </si>
  <si>
    <t>Molino transversal</t>
  </si>
  <si>
    <t>Tsukahara ext</t>
  </si>
  <si>
    <t>Mortal adelante carpado</t>
  </si>
  <si>
    <t>ALONSO</t>
  </si>
  <si>
    <t>N 10</t>
  </si>
  <si>
    <t>Doble adelante en c</t>
  </si>
  <si>
    <t>Tsukahara</t>
  </si>
  <si>
    <t>Flic facial</t>
  </si>
  <si>
    <t>Doble en V atrás</t>
  </si>
  <si>
    <t>Salto del tigre</t>
  </si>
  <si>
    <t>BPC</t>
  </si>
  <si>
    <t>Kip cristo</t>
  </si>
  <si>
    <t>Gigante Sostenido</t>
  </si>
  <si>
    <t>Tsukahara ext con 1</t>
  </si>
  <si>
    <t>Tsukahara extendida</t>
  </si>
  <si>
    <t>Doble mortal agrup atrás</t>
  </si>
  <si>
    <t>Gigante Saltado</t>
  </si>
  <si>
    <t>RICHIE</t>
  </si>
  <si>
    <t>Fedorchenko</t>
  </si>
  <si>
    <t xml:space="preserve">Split </t>
  </si>
  <si>
    <t>Doble Giro al frente</t>
  </si>
  <si>
    <t>Triple giro atrás</t>
  </si>
  <si>
    <t>Bajada 1/2 recorrido</t>
  </si>
  <si>
    <t>Magyar en punta (splindle)</t>
  </si>
  <si>
    <t>Tong Fei</t>
  </si>
  <si>
    <t>Sivado</t>
  </si>
  <si>
    <t>Circulo a manos PA</t>
  </si>
  <si>
    <t>Jonasson</t>
  </si>
  <si>
    <t>Multiple agrupado atras</t>
  </si>
  <si>
    <t>Tsukahara ext con 1 giro</t>
  </si>
  <si>
    <t>Diamidov</t>
  </si>
  <si>
    <t>Stutskhere</t>
  </si>
  <si>
    <t>Impulso a manos</t>
  </si>
  <si>
    <t>Tkachev</t>
  </si>
  <si>
    <t>Stalder</t>
  </si>
  <si>
    <t>Adler con 1/2</t>
  </si>
  <si>
    <t>Multiple extendido atras</t>
  </si>
  <si>
    <t>DIEGO</t>
  </si>
  <si>
    <t>N FIG</t>
  </si>
  <si>
    <t>Doble doble</t>
  </si>
  <si>
    <t>E</t>
  </si>
  <si>
    <t xml:space="preserve">Endo cerrado a manos </t>
  </si>
  <si>
    <t>Floop de stockli</t>
  </si>
  <si>
    <t>Regla Floop</t>
  </si>
  <si>
    <t xml:space="preserve">Floop con rusa </t>
  </si>
  <si>
    <t>Wu Guonian</t>
  </si>
  <si>
    <t>Rusa 1080º</t>
  </si>
  <si>
    <t>SDA a manos 2giros</t>
  </si>
  <si>
    <t>Molinary</t>
  </si>
  <si>
    <t>Tsukahara 2</t>
  </si>
  <si>
    <t>Molino Sost</t>
  </si>
  <si>
    <t>Gigante Sost</t>
  </si>
  <si>
    <t>Akopian</t>
  </si>
  <si>
    <t>Tsukahara ext con 1/2</t>
  </si>
  <si>
    <t>Felge a manos</t>
  </si>
  <si>
    <t>Bhavsar</t>
  </si>
  <si>
    <t>Tippelt</t>
  </si>
  <si>
    <t>Doble mortal agru ade</t>
  </si>
  <si>
    <t>Cassina</t>
  </si>
  <si>
    <t>G</t>
  </si>
  <si>
    <t>Kolman</t>
  </si>
  <si>
    <t>F</t>
  </si>
  <si>
    <t>Columna1</t>
  </si>
  <si>
    <t>ARZON</t>
  </si>
  <si>
    <t>Columna2</t>
  </si>
  <si>
    <t>Probable AA</t>
  </si>
  <si>
    <t>Diego</t>
  </si>
  <si>
    <t>Richie</t>
  </si>
  <si>
    <t>Alonso</t>
  </si>
  <si>
    <t>Mikel</t>
  </si>
  <si>
    <t>Champi</t>
  </si>
  <si>
    <t>Isaac</t>
  </si>
  <si>
    <t>Fer</t>
  </si>
  <si>
    <t>Yerik</t>
  </si>
  <si>
    <t>DIEGO J</t>
  </si>
  <si>
    <t>BARRA 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</si>
</sst>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Franklin Gothic"/>
    </font>
    <font>
      <sz val="28"/>
      <name val="Arial"/>
    </font>
    <font>
      <sz val="11"/>
      <name val="Calibri"/>
    </font>
    <font>
      <sz val="14"/>
      <name val="Arial"/>
    </font>
    <font>
      <b/>
      <sz val="18"/>
      <name val="Arial"/>
    </font>
    <font>
      <sz val="8"/>
      <name val="Arial"/>
    </font>
    <font>
      <b/>
      <i/>
      <sz val="16"/>
      <name val="Arial"/>
    </font>
    <font>
      <sz val="11"/>
      <name val="Arial"/>
    </font>
    <font>
      <sz val="9"/>
      <name val="Arial"/>
    </font>
    <font>
      <sz val="8"/>
      <color rgb="FF000000"/>
      <name val="Calibri"/>
    </font>
    <font>
      <sz val="10"/>
      <name val="Arial"/>
    </font>
    <font>
      <sz val="10"/>
      <color rgb="FF000000"/>
      <name val="Calibri"/>
    </font>
    <font>
      <sz val="9"/>
      <color rgb="FF000000"/>
      <name val="Calibri"/>
    </font>
    <font>
      <sz val="22"/>
      <name val="Arial"/>
    </font>
    <font>
      <b/>
      <i/>
      <sz val="10"/>
      <name val="Arial"/>
    </font>
    <font>
      <sz val="16"/>
      <name val="Arial"/>
    </font>
    <font>
      <b/>
      <sz val="20"/>
      <name val="Arial"/>
    </font>
    <font>
      <sz val="12"/>
      <color rgb="FF000000"/>
      <name val="Calibri"/>
      <scheme val="minor"/>
    </font>
    <font>
      <sz val="12"/>
      <name val="Arial"/>
    </font>
  </fonts>
  <fills count="44">
    <fill>
      <patternFill patternType="none"/>
    </fill>
    <fill>
      <patternFill patternType="gray125"/>
    </fill>
    <fill>
      <patternFill patternType="solid">
        <fgColor rgb="FF00FC00"/>
        <bgColor rgb="FF00FC00"/>
      </patternFill>
    </fill>
    <fill>
      <patternFill patternType="solid">
        <fgColor rgb="FFC55A11"/>
        <bgColor rgb="FFC55A11"/>
      </patternFill>
    </fill>
    <fill>
      <patternFill patternType="solid">
        <fgColor rgb="FFAEABAB"/>
        <bgColor rgb="FFAEABAB"/>
      </patternFill>
    </fill>
    <fill>
      <patternFill patternType="solid">
        <fgColor rgb="FF00FFFC"/>
        <bgColor rgb="FF00FFFC"/>
      </patternFill>
    </fill>
    <fill>
      <patternFill patternType="solid">
        <fgColor rgb="FFFF00FD"/>
        <bgColor rgb="FFFF00FD"/>
      </patternFill>
    </fill>
    <fill>
      <patternFill patternType="solid">
        <fgColor rgb="FF8D3ECB"/>
        <bgColor rgb="FF8D3ECB"/>
      </patternFill>
    </fill>
    <fill>
      <patternFill patternType="solid">
        <fgColor rgb="FFA8D08E"/>
        <bgColor rgb="FFA8D08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D865"/>
        <bgColor rgb="FFFFD865"/>
      </patternFill>
    </fill>
    <fill>
      <patternFill patternType="solid">
        <fgColor rgb="FFED7B30"/>
        <bgColor rgb="FFED7B30"/>
      </patternFill>
    </fill>
    <fill>
      <patternFill patternType="solid">
        <fgColor rgb="FF7C7C7C"/>
        <bgColor rgb="FF7C7C7C"/>
      </patternFill>
    </fill>
    <fill>
      <patternFill patternType="solid">
        <fgColor rgb="FF7030A0"/>
        <bgColor rgb="FF7030A0"/>
      </patternFill>
    </fill>
    <fill>
      <patternFill patternType="solid">
        <fgColor rgb="FF8396B0"/>
        <bgColor rgb="FF8396B0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CFCDCD"/>
        <bgColor rgb="FFCFCDCD"/>
      </patternFill>
    </fill>
    <fill>
      <patternFill patternType="solid">
        <fgColor rgb="FF548235"/>
        <bgColor rgb="FF548235"/>
      </patternFill>
    </fill>
    <fill>
      <patternFill patternType="solid">
        <fgColor rgb="FFC5E0B3"/>
        <bgColor rgb="FFC5E0B3"/>
      </patternFill>
    </fill>
    <fill>
      <patternFill patternType="solid">
        <fgColor rgb="FFC55911"/>
        <bgColor rgb="FFC55911"/>
      </patternFill>
    </fill>
    <fill>
      <patternFill patternType="solid">
        <fgColor rgb="FFD9D9D9"/>
        <bgColor rgb="FFD9D9D9"/>
      </patternFill>
    </fill>
    <fill>
      <patternFill patternType="solid">
        <fgColor rgb="FFFFBF00"/>
        <bgColor rgb="FFFFBF00"/>
      </patternFill>
    </fill>
    <fill>
      <patternFill patternType="solid">
        <fgColor rgb="FFA8D08D"/>
        <bgColor rgb="FFA8D08D"/>
      </patternFill>
    </fill>
    <fill>
      <patternFill patternType="solid">
        <fgColor rgb="FFBF8F00"/>
        <bgColor rgb="FFBF8F00"/>
      </patternFill>
    </fill>
    <fill>
      <patternFill patternType="solid">
        <fgColor rgb="FF8496B0"/>
        <bgColor rgb="FF8496B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295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9" fillId="9" borderId="8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7" borderId="6" xfId="0" applyFont="1" applyFill="1" applyBorder="1" applyAlignment="1">
      <alignment horizontal="center" vertical="center"/>
    </xf>
    <xf numFmtId="0" fontId="9" fillId="18" borderId="6" xfId="0" applyFont="1" applyFill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7" borderId="8" xfId="0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9" fillId="20" borderId="6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9" fillId="20" borderId="8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9" fillId="23" borderId="4" xfId="0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9" fontId="10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 wrapText="1"/>
    </xf>
    <xf numFmtId="0" fontId="9" fillId="17" borderId="15" xfId="0" applyFont="1" applyFill="1" applyBorder="1" applyAlignment="1">
      <alignment horizontal="center" vertical="center"/>
    </xf>
    <xf numFmtId="0" fontId="9" fillId="17" borderId="16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10" fillId="10" borderId="6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18" borderId="8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27" borderId="6" xfId="0" applyFont="1" applyFill="1" applyBorder="1" applyAlignment="1">
      <alignment horizontal="center" vertical="center"/>
    </xf>
    <xf numFmtId="0" fontId="9" fillId="27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9" fontId="7" fillId="0" borderId="0" xfId="0" applyNumberFormat="1" applyFont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14" borderId="19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/>
    </xf>
    <xf numFmtId="0" fontId="9" fillId="16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9" fillId="8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9" fontId="10" fillId="0" borderId="26" xfId="0" applyNumberFormat="1" applyFont="1" applyBorder="1" applyAlignment="1">
      <alignment horizontal="center" vertical="center"/>
    </xf>
    <xf numFmtId="0" fontId="12" fillId="16" borderId="2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9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9" fontId="10" fillId="0" borderId="0" xfId="0" applyNumberFormat="1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23" borderId="21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9" fontId="10" fillId="0" borderId="26" xfId="0" applyNumberFormat="1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vertical="center"/>
    </xf>
    <xf numFmtId="0" fontId="13" fillId="0" borderId="20" xfId="0" applyFont="1" applyFill="1" applyBorder="1" applyAlignment="1">
      <alignment vertical="center"/>
    </xf>
    <xf numFmtId="0" fontId="9" fillId="0" borderId="20" xfId="0" applyFont="1" applyFill="1" applyBorder="1" applyAlignment="1">
      <alignment horizontal="center" vertical="center" wrapText="1"/>
    </xf>
    <xf numFmtId="0" fontId="9" fillId="11" borderId="29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4" borderId="28" xfId="0" applyFont="1" applyFill="1" applyBorder="1" applyAlignment="1">
      <alignment horizontal="center" vertical="center" wrapText="1"/>
    </xf>
    <xf numFmtId="0" fontId="9" fillId="24" borderId="2" xfId="0" applyFont="1" applyFill="1" applyBorder="1" applyAlignment="1">
      <alignment horizontal="center" vertical="center"/>
    </xf>
    <xf numFmtId="0" fontId="0" fillId="0" borderId="20" xfId="0" applyFont="1" applyBorder="1" applyAlignment="1">
      <alignment vertical="center"/>
    </xf>
    <xf numFmtId="0" fontId="9" fillId="11" borderId="10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center" vertical="center" wrapText="1"/>
    </xf>
    <xf numFmtId="0" fontId="9" fillId="14" borderId="10" xfId="0" applyFont="1" applyFill="1" applyBorder="1" applyAlignment="1">
      <alignment horizontal="center" vertical="center" wrapText="1"/>
    </xf>
    <xf numFmtId="0" fontId="9" fillId="15" borderId="10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9" fillId="14" borderId="10" xfId="0" applyFont="1" applyFill="1" applyBorder="1" applyAlignment="1">
      <alignment horizontal="center" vertical="center"/>
    </xf>
    <xf numFmtId="0" fontId="9" fillId="14" borderId="27" xfId="0" applyFont="1" applyFill="1" applyBorder="1" applyAlignment="1">
      <alignment horizontal="center" vertical="center" wrapText="1"/>
    </xf>
    <xf numFmtId="9" fontId="10" fillId="0" borderId="21" xfId="0" applyNumberFormat="1" applyFont="1" applyBorder="1" applyAlignment="1">
      <alignment horizontal="center" vertical="center"/>
    </xf>
    <xf numFmtId="0" fontId="9" fillId="26" borderId="10" xfId="0" applyFont="1" applyFill="1" applyBorder="1" applyAlignment="1">
      <alignment horizontal="center" vertical="center"/>
    </xf>
    <xf numFmtId="0" fontId="12" fillId="16" borderId="13" xfId="0" applyFont="1" applyFill="1" applyBorder="1" applyAlignment="1">
      <alignment horizontal="center" vertical="center" wrapText="1"/>
    </xf>
    <xf numFmtId="0" fontId="12" fillId="16" borderId="13" xfId="0" applyFont="1" applyFill="1" applyBorder="1" applyAlignment="1">
      <alignment horizontal="center" vertical="center"/>
    </xf>
    <xf numFmtId="9" fontId="7" fillId="0" borderId="21" xfId="0" applyNumberFormat="1" applyFont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2" fillId="12" borderId="29" xfId="0" applyFont="1" applyFill="1" applyBorder="1" applyAlignment="1">
      <alignment horizontal="center" vertical="center" wrapText="1"/>
    </xf>
    <xf numFmtId="0" fontId="9" fillId="13" borderId="29" xfId="0" applyFont="1" applyFill="1" applyBorder="1" applyAlignment="1">
      <alignment horizontal="center" vertical="center" wrapText="1"/>
    </xf>
    <xf numFmtId="0" fontId="9" fillId="15" borderId="29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center" vertical="center" wrapText="1"/>
    </xf>
    <xf numFmtId="0" fontId="9" fillId="13" borderId="13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 wrapText="1"/>
    </xf>
    <xf numFmtId="0" fontId="9" fillId="15" borderId="13" xfId="0" applyFont="1" applyFill="1" applyBorder="1" applyAlignment="1">
      <alignment horizontal="center" vertical="center" wrapText="1"/>
    </xf>
    <xf numFmtId="0" fontId="9" fillId="16" borderId="10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 wrapText="1"/>
    </xf>
    <xf numFmtId="0" fontId="9" fillId="28" borderId="2" xfId="0" applyFont="1" applyFill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 wrapText="1"/>
    </xf>
    <xf numFmtId="0" fontId="10" fillId="18" borderId="15" xfId="0" applyFont="1" applyFill="1" applyBorder="1" applyAlignment="1">
      <alignment horizontal="center" vertical="center"/>
    </xf>
    <xf numFmtId="0" fontId="10" fillId="18" borderId="16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center" vertical="center"/>
    </xf>
    <xf numFmtId="0" fontId="9" fillId="27" borderId="15" xfId="0" applyFont="1" applyFill="1" applyBorder="1" applyAlignment="1">
      <alignment horizontal="center" vertical="center"/>
    </xf>
    <xf numFmtId="0" fontId="9" fillId="15" borderId="28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9" fillId="14" borderId="29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 wrapText="1"/>
    </xf>
    <xf numFmtId="0" fontId="9" fillId="18" borderId="15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9" fillId="26" borderId="2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12" fillId="16" borderId="21" xfId="0" applyFont="1" applyFill="1" applyBorder="1" applyAlignment="1">
      <alignment horizontal="center" vertical="center"/>
    </xf>
    <xf numFmtId="0" fontId="9" fillId="30" borderId="10" xfId="0" applyFont="1" applyFill="1" applyBorder="1" applyAlignment="1">
      <alignment horizontal="center" vertical="center"/>
    </xf>
    <xf numFmtId="0" fontId="12" fillId="30" borderId="10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8" fillId="7" borderId="11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9" fillId="34" borderId="2" xfId="0" applyFont="1" applyFill="1" applyBorder="1" applyAlignment="1">
      <alignment horizontal="center" vertical="center"/>
    </xf>
    <xf numFmtId="0" fontId="12" fillId="34" borderId="1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1" borderId="2" xfId="0" applyFont="1" applyFill="1" applyBorder="1" applyAlignment="1">
      <alignment horizontal="center" vertical="center" wrapText="1"/>
    </xf>
    <xf numFmtId="10" fontId="20" fillId="0" borderId="3" xfId="0" applyNumberFormat="1" applyFont="1" applyBorder="1" applyAlignment="1">
      <alignment horizontal="center" vertical="center"/>
    </xf>
    <xf numFmtId="10" fontId="9" fillId="0" borderId="3" xfId="0" applyNumberFormat="1" applyFont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9" fillId="17" borderId="22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9" fillId="17" borderId="23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9" fillId="30" borderId="2" xfId="0" applyFont="1" applyFill="1" applyBorder="1" applyAlignment="1">
      <alignment horizontal="center" vertical="center"/>
    </xf>
    <xf numFmtId="0" fontId="12" fillId="30" borderId="13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28" borderId="30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9" fillId="25" borderId="2" xfId="0" applyFont="1" applyFill="1" applyBorder="1" applyAlignment="1">
      <alignment horizontal="center" vertical="center"/>
    </xf>
    <xf numFmtId="0" fontId="9" fillId="22" borderId="17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9" fillId="22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9" fillId="22" borderId="21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12" fillId="34" borderId="1" xfId="0" applyFont="1" applyFill="1" applyBorder="1" applyAlignment="1">
      <alignment horizontal="center" vertical="center" wrapText="1"/>
    </xf>
    <xf numFmtId="0" fontId="12" fillId="16" borderId="17" xfId="0" applyFont="1" applyFill="1" applyBorder="1" applyAlignment="1">
      <alignment horizontal="center" vertical="center"/>
    </xf>
    <xf numFmtId="0" fontId="9" fillId="22" borderId="2" xfId="0" applyFont="1" applyFill="1" applyBorder="1" applyAlignment="1">
      <alignment horizontal="center" vertical="center"/>
    </xf>
    <xf numFmtId="0" fontId="9" fillId="24" borderId="27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2" fillId="0" borderId="20" xfId="0" applyFont="1" applyBorder="1" applyAlignment="1">
      <alignment vertical="center" wrapText="1"/>
    </xf>
    <xf numFmtId="0" fontId="9" fillId="23" borderId="23" xfId="0" applyFont="1" applyFill="1" applyBorder="1" applyAlignment="1">
      <alignment horizontal="center" vertical="center"/>
    </xf>
    <xf numFmtId="0" fontId="9" fillId="23" borderId="16" xfId="0" applyFont="1" applyFill="1" applyBorder="1" applyAlignment="1">
      <alignment horizontal="center" vertical="center"/>
    </xf>
    <xf numFmtId="0" fontId="9" fillId="28" borderId="27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9" fillId="17" borderId="10" xfId="0" applyFont="1" applyFill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9" fillId="25" borderId="21" xfId="0" applyFont="1" applyFill="1" applyBorder="1" applyAlignment="1">
      <alignment horizontal="center" vertical="center"/>
    </xf>
    <xf numFmtId="0" fontId="12" fillId="25" borderId="21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" fillId="29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9" fillId="34" borderId="20" xfId="0" applyFont="1" applyFill="1" applyBorder="1" applyAlignment="1">
      <alignment horizontal="center" vertical="center"/>
    </xf>
    <xf numFmtId="0" fontId="12" fillId="34" borderId="20" xfId="0" applyFont="1" applyFill="1" applyBorder="1" applyAlignment="1">
      <alignment horizontal="center" vertical="center"/>
    </xf>
    <xf numFmtId="0" fontId="19" fillId="34" borderId="2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9" fillId="19" borderId="2" xfId="0" applyFont="1" applyFill="1" applyBorder="1" applyAlignment="1">
      <alignment horizontal="center" vertical="center"/>
    </xf>
    <xf numFmtId="0" fontId="9" fillId="15" borderId="30" xfId="0" applyFont="1" applyFill="1" applyBorder="1" applyAlignment="1">
      <alignment horizontal="center" vertical="center"/>
    </xf>
    <xf numFmtId="0" fontId="9" fillId="34" borderId="10" xfId="0" applyFont="1" applyFill="1" applyBorder="1" applyAlignment="1">
      <alignment horizontal="center" vertical="center"/>
    </xf>
    <xf numFmtId="0" fontId="9" fillId="34" borderId="27" xfId="0" applyFont="1" applyFill="1" applyBorder="1" applyAlignment="1">
      <alignment horizontal="center" vertical="center"/>
    </xf>
    <xf numFmtId="0" fontId="12" fillId="34" borderId="10" xfId="0" applyFont="1" applyFill="1" applyBorder="1" applyAlignment="1">
      <alignment horizontal="center" vertical="center" wrapText="1"/>
    </xf>
    <xf numFmtId="0" fontId="19" fillId="34" borderId="1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0" fillId="38" borderId="3" xfId="0" applyFont="1" applyFill="1" applyBorder="1" applyAlignment="1">
      <alignment horizontal="center" vertical="center" textRotation="90"/>
    </xf>
    <xf numFmtId="0" fontId="0" fillId="0" borderId="0" xfId="0" applyFont="1" applyAlignment="1">
      <alignment horizontal="center" vertical="center" textRotation="90"/>
    </xf>
    <xf numFmtId="0" fontId="0" fillId="39" borderId="25" xfId="0" applyFont="1" applyFill="1" applyBorder="1" applyAlignment="1">
      <alignment horizontal="center" vertical="center"/>
    </xf>
    <xf numFmtId="0" fontId="0" fillId="39" borderId="31" xfId="0" applyFont="1" applyFill="1" applyBorder="1" applyAlignment="1">
      <alignment horizontal="center" vertical="center"/>
    </xf>
    <xf numFmtId="0" fontId="0" fillId="39" borderId="38" xfId="0" applyFont="1" applyFill="1" applyBorder="1" applyAlignment="1">
      <alignment horizontal="center" vertical="center"/>
    </xf>
    <xf numFmtId="0" fontId="0" fillId="39" borderId="37" xfId="0" applyFont="1" applyFill="1" applyBorder="1" applyAlignment="1">
      <alignment horizontal="center" vertical="center"/>
    </xf>
    <xf numFmtId="0" fontId="0" fillId="40" borderId="5" xfId="0" applyFont="1" applyFill="1" applyBorder="1" applyAlignment="1">
      <alignment horizontal="center" vertical="center"/>
    </xf>
    <xf numFmtId="0" fontId="0" fillId="40" borderId="4" xfId="0" applyFont="1" applyFill="1" applyBorder="1" applyAlignment="1">
      <alignment horizontal="center" vertical="center"/>
    </xf>
    <xf numFmtId="0" fontId="0" fillId="40" borderId="3" xfId="0" applyFont="1" applyFill="1" applyBorder="1" applyAlignment="1">
      <alignment horizontal="center" vertical="center"/>
    </xf>
    <xf numFmtId="9" fontId="7" fillId="0" borderId="26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20" xfId="0" applyFont="1" applyBorder="1" applyAlignment="1">
      <alignment horizontal="center" vertical="center" textRotation="90"/>
    </xf>
    <xf numFmtId="0" fontId="1" fillId="41" borderId="1" xfId="0" applyFont="1" applyFill="1" applyBorder="1" applyAlignment="1">
      <alignment horizontal="center" vertical="center"/>
    </xf>
    <xf numFmtId="0" fontId="1" fillId="42" borderId="1" xfId="0" applyFont="1" applyFill="1" applyBorder="1" applyAlignment="1">
      <alignment horizontal="center" vertical="center"/>
    </xf>
    <xf numFmtId="0" fontId="1" fillId="4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8" fillId="8" borderId="4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8" fillId="8" borderId="11" xfId="0" applyFont="1" applyFill="1" applyBorder="1" applyAlignment="1">
      <alignment horizontal="center" vertical="center"/>
    </xf>
    <xf numFmtId="9" fontId="10" fillId="0" borderId="7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9" fontId="10" fillId="0" borderId="21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8" fillId="8" borderId="24" xfId="0" applyFont="1" applyFill="1" applyBorder="1" applyAlignment="1">
      <alignment horizontal="center" vertical="center"/>
    </xf>
    <xf numFmtId="9" fontId="7" fillId="0" borderId="7" xfId="0" applyNumberFormat="1" applyFont="1" applyBorder="1" applyAlignment="1">
      <alignment horizontal="center" vertical="center" wrapText="1"/>
    </xf>
    <xf numFmtId="9" fontId="7" fillId="0" borderId="2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9" fontId="7" fillId="0" borderId="1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9" fontId="10" fillId="0" borderId="12" xfId="0" applyNumberFormat="1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textRotation="90"/>
    </xf>
    <xf numFmtId="0" fontId="0" fillId="0" borderId="36" xfId="0" applyFont="1" applyBorder="1" applyAlignment="1">
      <alignment horizontal="center" vertical="center" textRotation="90"/>
    </xf>
    <xf numFmtId="0" fontId="0" fillId="39" borderId="20" xfId="0" applyFont="1" applyFill="1" applyBorder="1" applyAlignment="1">
      <alignment horizontal="center" vertical="center" textRotation="90"/>
    </xf>
    <xf numFmtId="0" fontId="0" fillId="39" borderId="36" xfId="0" applyFont="1" applyFill="1" applyBorder="1" applyAlignment="1">
      <alignment horizontal="center" vertical="center" textRotation="90"/>
    </xf>
    <xf numFmtId="0" fontId="1" fillId="41" borderId="21" xfId="0" applyFont="1" applyFill="1" applyBorder="1" applyAlignment="1">
      <alignment horizontal="center" vertical="center"/>
    </xf>
    <xf numFmtId="0" fontId="2" fillId="31" borderId="21" xfId="0" applyFont="1" applyFill="1" applyBorder="1" applyAlignment="1">
      <alignment horizontal="center" vertical="center"/>
    </xf>
    <xf numFmtId="0" fontId="12" fillId="34" borderId="20" xfId="0" applyFont="1" applyFill="1" applyBorder="1" applyAlignment="1">
      <alignment horizontal="center" vertical="center" wrapText="1"/>
    </xf>
    <xf numFmtId="0" fontId="0" fillId="34" borderId="20" xfId="0" applyFont="1" applyFill="1" applyBorder="1" applyAlignment="1">
      <alignment vertical="center"/>
    </xf>
  </cellXfs>
  <cellStyles count="1">
    <cellStyle name="Normal" xfId="0" builtinId="0"/>
  </cellStyles>
  <dxfs count="1561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C00"/>
          <bgColor rgb="FF00FC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F04A4A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9847407452621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CF8A15"/>
          <bgColor rgb="FFCF8A15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>
    <tableStyle name="NP-style" pivot="0" count="3" xr9:uid="{00000000-0011-0000-FFFF-FFFF00000000}">
      <tableStyleElement type="headerRow" dxfId="1560"/>
      <tableStyleElement type="firstRowStripe" dxfId="1559"/>
      <tableStyleElement type="secondRowStripe" dxfId="15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1">
  <tableColumns count="8">
    <tableColumn id="1" xr3:uid="{00000000-0010-0000-0000-000001000000}" name="Columna1" dataDxfId="7"/>
    <tableColumn id="2" xr3:uid="{00000000-0010-0000-0000-000002000000}" name="PISO" dataDxfId="6"/>
    <tableColumn id="3" xr3:uid="{00000000-0010-0000-0000-000003000000}" name="ARZON" dataDxfId="5"/>
    <tableColumn id="4" xr3:uid="{00000000-0010-0000-0000-000004000000}" name="ANILLO" dataDxfId="4"/>
    <tableColumn id="5" xr3:uid="{00000000-0010-0000-0000-000005000000}" name="SALTO" dataDxfId="3"/>
    <tableColumn id="6" xr3:uid="{00000000-0010-0000-0000-000006000000}" name="PARALELA" dataDxfId="2"/>
    <tableColumn id="7" xr3:uid="{00000000-0010-0000-0000-000007000000}" name="FIJA" dataDxfId="1"/>
    <tableColumn id="8" xr3:uid="{00000000-0010-0000-0000-000008000000}" name="Columna2" dataDxfId="0"/>
  </tableColumns>
  <tableStyleInfo name="NP-style" showFirstColumn="1" showLastColumn="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1"/>
  <sheetViews>
    <sheetView workbookViewId="0">
      <selection activeCell="C3" sqref="C3"/>
    </sheetView>
  </sheetViews>
  <sheetFormatPr defaultColWidth="14.42578125" defaultRowHeight="15" customHeight="1"/>
  <cols>
    <col min="1" max="1" width="24.7109375" customWidth="1"/>
    <col min="2" max="2" width="7.42578125" customWidth="1"/>
    <col min="3" max="6" width="11" customWidth="1"/>
    <col min="7" max="7" width="13" customWidth="1"/>
    <col min="8" max="8" width="11" customWidth="1"/>
    <col min="9" max="9" width="8.85546875" customWidth="1"/>
    <col min="10" max="11" width="8.7109375" customWidth="1"/>
  </cols>
  <sheetData>
    <row r="2" spans="1:11" ht="31.5" customHeight="1">
      <c r="A2" s="1" t="s">
        <v>0</v>
      </c>
      <c r="B2" s="165" t="s">
        <v>1</v>
      </c>
      <c r="C2" s="177" t="s">
        <v>2</v>
      </c>
      <c r="D2" s="178" t="s">
        <v>3</v>
      </c>
      <c r="E2" s="166" t="s">
        <v>4</v>
      </c>
      <c r="F2" s="179" t="s">
        <v>5</v>
      </c>
      <c r="G2" s="180" t="s">
        <v>6</v>
      </c>
      <c r="H2" s="181" t="s">
        <v>7</v>
      </c>
      <c r="I2" s="166" t="s">
        <v>8</v>
      </c>
      <c r="J2" s="2"/>
      <c r="K2" s="2"/>
    </row>
    <row r="3" spans="1:11">
      <c r="A3" s="266" t="s">
        <v>9</v>
      </c>
      <c r="B3" s="4">
        <v>4</v>
      </c>
      <c r="C3" s="86">
        <v>9</v>
      </c>
      <c r="D3" s="86">
        <v>9.6</v>
      </c>
      <c r="E3" s="86">
        <v>9.6</v>
      </c>
      <c r="F3" s="86">
        <v>9.9</v>
      </c>
      <c r="G3" s="86">
        <v>9.3000000000000007</v>
      </c>
      <c r="H3" s="86">
        <v>9.3000000000000007</v>
      </c>
      <c r="I3" s="86">
        <f>SUM(C3:H3)-6</f>
        <v>50.7</v>
      </c>
      <c r="J3" s="3"/>
    </row>
    <row r="4" spans="1:11">
      <c r="A4" s="266" t="s">
        <v>10</v>
      </c>
      <c r="B4" s="4">
        <v>4</v>
      </c>
      <c r="C4" s="86">
        <v>9</v>
      </c>
      <c r="D4" s="86">
        <v>9.6</v>
      </c>
      <c r="E4" s="86">
        <v>9.9</v>
      </c>
      <c r="F4" s="86">
        <v>9.9</v>
      </c>
      <c r="G4" s="86">
        <v>9</v>
      </c>
      <c r="H4" s="86">
        <v>9.6</v>
      </c>
      <c r="I4" s="86">
        <f>SUM(C4:H4)-6</f>
        <v>51</v>
      </c>
      <c r="J4" s="3"/>
    </row>
    <row r="5" spans="1:11">
      <c r="A5" s="266" t="s">
        <v>11</v>
      </c>
      <c r="B5" s="4">
        <v>4</v>
      </c>
      <c r="C5" s="86">
        <v>9.3000000000000007</v>
      </c>
      <c r="D5" s="86">
        <v>9.9</v>
      </c>
      <c r="E5" s="86">
        <v>9.6</v>
      </c>
      <c r="F5" s="86">
        <v>9.9</v>
      </c>
      <c r="G5" s="86">
        <v>9</v>
      </c>
      <c r="H5" s="86">
        <v>9.3000000000000007</v>
      </c>
      <c r="I5" s="86">
        <f>SUM(C5:H5)-6</f>
        <v>51</v>
      </c>
      <c r="J5" s="3"/>
    </row>
    <row r="6" spans="1:11">
      <c r="A6" s="267" t="s">
        <v>12</v>
      </c>
      <c r="B6" s="4">
        <v>4</v>
      </c>
      <c r="C6" s="86">
        <v>9</v>
      </c>
      <c r="D6" s="86">
        <v>9.6</v>
      </c>
      <c r="E6" s="86">
        <v>9.6</v>
      </c>
      <c r="F6" s="86">
        <v>9.9</v>
      </c>
      <c r="G6" s="86">
        <v>9.6</v>
      </c>
      <c r="H6" s="86">
        <v>9.6</v>
      </c>
      <c r="I6" s="86">
        <f>SUM(C6:H6)-6</f>
        <v>51.300000000000004</v>
      </c>
      <c r="J6" s="3"/>
    </row>
    <row r="7" spans="1:11">
      <c r="A7" s="267" t="s">
        <v>13</v>
      </c>
      <c r="B7" s="4">
        <v>4</v>
      </c>
      <c r="C7" s="86">
        <v>9.6</v>
      </c>
      <c r="D7" s="86">
        <v>9.3000000000000007</v>
      </c>
      <c r="E7" s="86">
        <v>9.6</v>
      </c>
      <c r="F7" s="86">
        <v>9.9</v>
      </c>
      <c r="G7" s="86">
        <v>9.3000000000000007</v>
      </c>
      <c r="H7" s="86">
        <v>9.6</v>
      </c>
      <c r="I7" s="86">
        <f>SUM(C7:H7)-6</f>
        <v>51.300000000000004</v>
      </c>
      <c r="J7" s="3"/>
    </row>
    <row r="8" spans="1:11">
      <c r="A8" s="267" t="s">
        <v>14</v>
      </c>
      <c r="B8" s="4">
        <v>4</v>
      </c>
      <c r="C8" s="86">
        <v>9</v>
      </c>
      <c r="D8" s="86">
        <v>9.6</v>
      </c>
      <c r="E8" s="86">
        <v>9.6</v>
      </c>
      <c r="F8" s="86">
        <v>9.9</v>
      </c>
      <c r="G8" s="86">
        <v>9.6</v>
      </c>
      <c r="H8" s="86">
        <v>9.6</v>
      </c>
      <c r="I8" s="86">
        <f>SUM(C8:H8)-6</f>
        <v>51.300000000000004</v>
      </c>
      <c r="J8" s="3"/>
    </row>
    <row r="9" spans="1:11">
      <c r="A9" s="267" t="s">
        <v>15</v>
      </c>
      <c r="B9" s="4">
        <v>4</v>
      </c>
      <c r="C9" s="86">
        <v>9.3000000000000007</v>
      </c>
      <c r="D9" s="86">
        <v>9.3000000000000007</v>
      </c>
      <c r="E9" s="86">
        <v>9.6</v>
      </c>
      <c r="F9" s="86">
        <v>9.9</v>
      </c>
      <c r="G9" s="86">
        <v>9.3000000000000007</v>
      </c>
      <c r="H9" s="86">
        <v>9.9</v>
      </c>
      <c r="I9" s="86">
        <f>SUM(C9:H9)-6</f>
        <v>51.300000000000004</v>
      </c>
      <c r="J9" s="3"/>
    </row>
    <row r="10" spans="1:11">
      <c r="A10" s="267" t="s">
        <v>16</v>
      </c>
      <c r="B10" s="4">
        <v>4</v>
      </c>
      <c r="C10" s="86">
        <v>9.6</v>
      </c>
      <c r="D10" s="86">
        <v>9.6</v>
      </c>
      <c r="E10" s="86">
        <v>9.9</v>
      </c>
      <c r="F10" s="86">
        <v>9.9</v>
      </c>
      <c r="G10" s="86">
        <v>9</v>
      </c>
      <c r="H10" s="87">
        <v>9.6</v>
      </c>
      <c r="I10" s="86">
        <f>SUM(C10:H10)-6</f>
        <v>51.6</v>
      </c>
      <c r="J10" s="3"/>
    </row>
    <row r="11" spans="1:11">
      <c r="A11" s="267" t="s">
        <v>17</v>
      </c>
      <c r="B11" s="4">
        <v>4</v>
      </c>
      <c r="C11" s="86">
        <v>9.3000000000000007</v>
      </c>
      <c r="D11" s="86">
        <v>9.6</v>
      </c>
      <c r="E11" s="86">
        <v>9.9</v>
      </c>
      <c r="F11" s="86">
        <v>9.9</v>
      </c>
      <c r="G11" s="86">
        <v>9.3000000000000007</v>
      </c>
      <c r="H11" s="86">
        <v>9.6</v>
      </c>
      <c r="I11" s="86">
        <f>SUM(C11:H11)-6</f>
        <v>51.6</v>
      </c>
      <c r="J11" s="3"/>
    </row>
    <row r="12" spans="1:11">
      <c r="A12" s="268" t="s">
        <v>18</v>
      </c>
      <c r="B12" s="4">
        <v>4</v>
      </c>
      <c r="C12" s="86">
        <v>9.6</v>
      </c>
      <c r="D12" s="86">
        <v>9.6</v>
      </c>
      <c r="E12" s="86">
        <v>9.6</v>
      </c>
      <c r="F12" s="86">
        <v>9.9</v>
      </c>
      <c r="G12" s="86">
        <v>9.6</v>
      </c>
      <c r="H12" s="86">
        <v>9.6</v>
      </c>
      <c r="I12" s="86">
        <f>SUM(C12:H12)-6</f>
        <v>51.9</v>
      </c>
      <c r="J12" s="3"/>
    </row>
    <row r="13" spans="1:11">
      <c r="A13" s="268" t="s">
        <v>19</v>
      </c>
      <c r="B13" s="4">
        <v>4</v>
      </c>
      <c r="C13" s="86">
        <v>9.3000000000000007</v>
      </c>
      <c r="D13" s="86">
        <v>9.6</v>
      </c>
      <c r="E13" s="86">
        <v>9.9</v>
      </c>
      <c r="F13" s="86">
        <v>9.9</v>
      </c>
      <c r="G13" s="86">
        <v>9.6</v>
      </c>
      <c r="H13" s="86">
        <v>9.6</v>
      </c>
      <c r="I13" s="86">
        <f>SUM(C13:H13)-6</f>
        <v>51.9</v>
      </c>
      <c r="J13" s="3"/>
    </row>
    <row r="14" spans="1:11">
      <c r="A14" s="268" t="s">
        <v>20</v>
      </c>
      <c r="B14" s="4">
        <v>4</v>
      </c>
      <c r="C14" s="86">
        <v>9.6</v>
      </c>
      <c r="D14" s="86">
        <v>9.6</v>
      </c>
      <c r="E14" s="86">
        <v>9.9</v>
      </c>
      <c r="F14" s="86">
        <v>9.9</v>
      </c>
      <c r="G14" s="86">
        <v>9.6</v>
      </c>
      <c r="H14" s="86">
        <v>9.6</v>
      </c>
      <c r="I14" s="86">
        <f>SUM(C14:H14)-6</f>
        <v>52.2</v>
      </c>
      <c r="J14" s="3"/>
    </row>
    <row r="15" spans="1:11">
      <c r="A15" s="268" t="s">
        <v>21</v>
      </c>
      <c r="B15" s="4">
        <v>4</v>
      </c>
      <c r="C15" s="86">
        <v>9.9</v>
      </c>
      <c r="D15" s="86">
        <v>9.9</v>
      </c>
      <c r="E15" s="86">
        <v>9.9</v>
      </c>
      <c r="F15" s="86">
        <v>9.9</v>
      </c>
      <c r="G15" s="86">
        <v>9.6</v>
      </c>
      <c r="H15" s="86">
        <v>9.6</v>
      </c>
      <c r="I15" s="86">
        <f>SUM(C15:H15)-6</f>
        <v>52.800000000000004</v>
      </c>
      <c r="J15" s="3"/>
    </row>
    <row r="16" spans="1:11">
      <c r="A16" s="266" t="s">
        <v>22</v>
      </c>
      <c r="B16" s="5">
        <v>5</v>
      </c>
      <c r="C16" s="86">
        <v>9</v>
      </c>
      <c r="D16" s="86">
        <v>9</v>
      </c>
      <c r="E16" s="86">
        <v>9.6</v>
      </c>
      <c r="F16" s="86">
        <v>9.9</v>
      </c>
      <c r="G16" s="86">
        <v>9</v>
      </c>
      <c r="H16" s="86">
        <v>9</v>
      </c>
      <c r="I16" s="86">
        <f>SUM(C16:H16)-6</f>
        <v>49.5</v>
      </c>
      <c r="J16" s="3"/>
    </row>
    <row r="17" spans="1:10">
      <c r="A17" s="266" t="s">
        <v>23</v>
      </c>
      <c r="B17" s="5">
        <v>5</v>
      </c>
      <c r="C17" s="86">
        <v>9.3000000000000007</v>
      </c>
      <c r="D17" s="86">
        <v>9</v>
      </c>
      <c r="E17" s="86">
        <v>9.6</v>
      </c>
      <c r="F17" s="86">
        <v>9.9</v>
      </c>
      <c r="G17" s="86">
        <v>9</v>
      </c>
      <c r="H17" s="86">
        <v>9</v>
      </c>
      <c r="I17" s="86">
        <f>SUM(C17:H17)-6</f>
        <v>49.8</v>
      </c>
      <c r="J17" s="3"/>
    </row>
    <row r="18" spans="1:10">
      <c r="A18" s="266" t="s">
        <v>24</v>
      </c>
      <c r="B18" s="5">
        <v>5</v>
      </c>
      <c r="C18" s="86">
        <v>9.3000000000000007</v>
      </c>
      <c r="D18" s="86">
        <v>9.6</v>
      </c>
      <c r="E18" s="86">
        <v>9.6</v>
      </c>
      <c r="F18" s="86">
        <v>9.9</v>
      </c>
      <c r="G18" s="86">
        <v>9.3000000000000007</v>
      </c>
      <c r="H18" s="86">
        <v>9</v>
      </c>
      <c r="I18" s="86">
        <f>SUM(C18:H18)-6</f>
        <v>50.7</v>
      </c>
      <c r="J18" s="3"/>
    </row>
    <row r="19" spans="1:10">
      <c r="A19" s="267" t="s">
        <v>25</v>
      </c>
      <c r="B19" s="5">
        <v>5</v>
      </c>
      <c r="C19" s="86">
        <v>9.3000000000000007</v>
      </c>
      <c r="D19" s="86">
        <v>9.9</v>
      </c>
      <c r="E19" s="86">
        <v>9.9</v>
      </c>
      <c r="F19" s="86">
        <v>9.9</v>
      </c>
      <c r="G19" s="86">
        <v>9.3000000000000007</v>
      </c>
      <c r="H19" s="86">
        <v>9</v>
      </c>
      <c r="I19" s="86">
        <f>SUM(C19:H19)-6</f>
        <v>51.3</v>
      </c>
      <c r="J19" s="3"/>
    </row>
    <row r="20" spans="1:10">
      <c r="A20" s="291" t="s">
        <v>26</v>
      </c>
      <c r="B20" s="292">
        <v>6</v>
      </c>
      <c r="C20" s="145">
        <v>9</v>
      </c>
      <c r="D20" s="145">
        <v>9</v>
      </c>
      <c r="E20" s="145">
        <v>9</v>
      </c>
      <c r="F20" s="145">
        <v>9.9</v>
      </c>
      <c r="G20" s="145">
        <v>9</v>
      </c>
      <c r="H20" s="145">
        <v>9</v>
      </c>
      <c r="I20" s="145">
        <f>SUM(C20:H20)-6</f>
        <v>48.9</v>
      </c>
      <c r="J20" s="3"/>
    </row>
    <row r="21" spans="1:10">
      <c r="A21" s="266" t="s">
        <v>27</v>
      </c>
      <c r="B21" s="164">
        <v>6</v>
      </c>
      <c r="C21" s="86">
        <v>9.3000000000000007</v>
      </c>
      <c r="D21" s="86">
        <v>9</v>
      </c>
      <c r="E21" s="86">
        <v>9</v>
      </c>
      <c r="F21" s="86">
        <v>9.6</v>
      </c>
      <c r="G21" s="86">
        <v>9</v>
      </c>
      <c r="H21" s="86">
        <v>9.6</v>
      </c>
      <c r="I21" s="86">
        <f>SUM(C21:H21)-6</f>
        <v>49.5</v>
      </c>
      <c r="J21" s="221"/>
    </row>
    <row r="22" spans="1:10">
      <c r="A22" s="266" t="s">
        <v>28</v>
      </c>
      <c r="B22" s="164">
        <v>6</v>
      </c>
      <c r="C22" s="86">
        <v>9.3000000000000007</v>
      </c>
      <c r="D22" s="86">
        <v>9.6</v>
      </c>
      <c r="E22" s="86">
        <v>9.3000000000000007</v>
      </c>
      <c r="F22" s="86">
        <v>9.6</v>
      </c>
      <c r="G22" s="86">
        <v>9.3000000000000007</v>
      </c>
      <c r="H22" s="86">
        <v>9</v>
      </c>
      <c r="I22" s="86">
        <f>SUM(C22:H22)-6</f>
        <v>50.099999999999994</v>
      </c>
      <c r="J22" s="221"/>
    </row>
    <row r="23" spans="1:10" ht="15.75" customHeight="1">
      <c r="A23" s="168"/>
      <c r="B23" s="222"/>
      <c r="C23" s="168"/>
      <c r="D23" s="168"/>
      <c r="E23" s="168"/>
      <c r="F23" s="168"/>
      <c r="G23" s="168"/>
      <c r="H23" s="168"/>
      <c r="I23" s="168"/>
    </row>
    <row r="24" spans="1:10" ht="15.75" customHeight="1">
      <c r="A24" s="6" t="s">
        <v>29</v>
      </c>
      <c r="B24" s="86">
        <v>9.9</v>
      </c>
      <c r="C24" s="6"/>
      <c r="D24" s="6"/>
      <c r="E24" s="6"/>
      <c r="F24" s="6"/>
      <c r="G24" s="6"/>
      <c r="H24" s="6"/>
      <c r="I24" s="6"/>
    </row>
    <row r="25" spans="1:10" ht="15.75" customHeight="1">
      <c r="A25" s="6" t="s">
        <v>30</v>
      </c>
      <c r="B25" s="86">
        <v>9.6</v>
      </c>
      <c r="C25" s="6"/>
      <c r="D25" s="6"/>
      <c r="E25" s="6"/>
      <c r="F25" s="6"/>
      <c r="G25" s="6"/>
      <c r="H25" s="6"/>
      <c r="I25" s="6"/>
    </row>
    <row r="26" spans="1:10" ht="15.75" customHeight="1">
      <c r="A26" s="6" t="s">
        <v>31</v>
      </c>
      <c r="B26" s="86">
        <v>9.3000000000000007</v>
      </c>
      <c r="C26" s="6"/>
      <c r="D26" s="6"/>
      <c r="E26" s="6"/>
      <c r="F26" s="6"/>
      <c r="G26" s="6"/>
      <c r="H26" s="6"/>
      <c r="I26" s="6"/>
    </row>
    <row r="27" spans="1:10" ht="15.75" customHeight="1">
      <c r="A27" s="6" t="s">
        <v>32</v>
      </c>
      <c r="B27" s="86">
        <v>9</v>
      </c>
      <c r="C27" s="6"/>
      <c r="D27" s="6"/>
      <c r="E27" s="6"/>
      <c r="F27" s="6"/>
      <c r="G27" s="6"/>
      <c r="H27" s="6"/>
      <c r="I27" s="6"/>
    </row>
    <row r="28" spans="1:10" ht="15.75" customHeight="1">
      <c r="A28" s="6"/>
      <c r="B28" s="7"/>
      <c r="C28" s="6"/>
      <c r="D28" s="6"/>
      <c r="E28" s="6"/>
      <c r="F28" s="6"/>
      <c r="G28" s="6"/>
      <c r="H28" s="6"/>
      <c r="I28" s="6"/>
    </row>
    <row r="29" spans="1:10" ht="15.75" customHeight="1">
      <c r="A29" s="6"/>
      <c r="B29" s="7"/>
      <c r="C29" s="6"/>
      <c r="D29" s="6"/>
      <c r="E29" s="6"/>
      <c r="F29" s="6"/>
      <c r="G29" s="6"/>
      <c r="H29" s="6"/>
      <c r="I29" s="6"/>
    </row>
    <row r="30" spans="1:10" ht="15.75" customHeight="1">
      <c r="A30" s="6"/>
      <c r="B30" s="7"/>
      <c r="C30" s="6"/>
      <c r="D30" s="6"/>
      <c r="E30" s="6"/>
      <c r="F30" s="6"/>
      <c r="G30" s="6"/>
      <c r="H30" s="6"/>
      <c r="I30" s="6"/>
    </row>
    <row r="31" spans="1:10" ht="15.75" customHeight="1">
      <c r="A31" s="6"/>
      <c r="B31" s="7"/>
      <c r="C31" s="6"/>
      <c r="D31" s="6"/>
      <c r="E31" s="6"/>
      <c r="F31" s="6"/>
      <c r="G31" s="6"/>
      <c r="H31" s="6"/>
      <c r="I31" s="6"/>
    </row>
    <row r="32" spans="1:10" ht="15.75" customHeight="1">
      <c r="A32" s="6"/>
      <c r="B32" s="7"/>
      <c r="C32" s="6"/>
      <c r="D32" s="6"/>
      <c r="E32" s="6"/>
      <c r="F32" s="6"/>
      <c r="G32" s="6"/>
      <c r="H32" s="6"/>
      <c r="I32" s="6"/>
    </row>
    <row r="33" spans="1:9" ht="15.75" customHeight="1">
      <c r="A33" s="6"/>
      <c r="B33" s="7"/>
      <c r="C33" s="6"/>
      <c r="D33" s="6"/>
      <c r="E33" s="6"/>
      <c r="F33" s="6"/>
      <c r="G33" s="6"/>
      <c r="H33" s="6"/>
      <c r="I33" s="6"/>
    </row>
    <row r="34" spans="1:9" ht="15.75" customHeight="1">
      <c r="A34" s="6"/>
      <c r="B34" s="7"/>
      <c r="C34" s="6"/>
      <c r="D34" s="6"/>
      <c r="E34" s="6"/>
      <c r="F34" s="6"/>
      <c r="G34" s="6"/>
      <c r="H34" s="6"/>
      <c r="I34" s="6"/>
    </row>
    <row r="35" spans="1:9" ht="15.75" customHeight="1">
      <c r="A35" s="6"/>
      <c r="B35" s="7"/>
      <c r="C35" s="6"/>
      <c r="D35" s="6"/>
      <c r="E35" s="6"/>
      <c r="F35" s="6"/>
      <c r="G35" s="6"/>
      <c r="H35" s="6"/>
      <c r="I35" s="6"/>
    </row>
    <row r="36" spans="1:9" ht="15.75" customHeight="1">
      <c r="A36" s="6"/>
      <c r="B36" s="7"/>
      <c r="C36" s="6"/>
      <c r="D36" s="6"/>
      <c r="E36" s="6"/>
      <c r="F36" s="6"/>
      <c r="G36" s="6"/>
      <c r="H36" s="6"/>
      <c r="I36" s="6"/>
    </row>
    <row r="37" spans="1:9" ht="15.75" customHeight="1">
      <c r="A37" s="6"/>
      <c r="B37" s="7"/>
      <c r="C37" s="6"/>
      <c r="D37" s="6"/>
      <c r="E37" s="6"/>
      <c r="F37" s="6"/>
      <c r="G37" s="6"/>
      <c r="H37" s="6"/>
      <c r="I37" s="6"/>
    </row>
    <row r="38" spans="1:9" ht="15.75" customHeight="1">
      <c r="A38" s="6"/>
      <c r="B38" s="7"/>
      <c r="C38" s="6"/>
      <c r="D38" s="6"/>
      <c r="E38" s="6"/>
      <c r="F38" s="6"/>
      <c r="G38" s="6"/>
      <c r="H38" s="6"/>
      <c r="I38" s="6"/>
    </row>
    <row r="39" spans="1:9" ht="15.75" customHeight="1">
      <c r="A39" s="6"/>
      <c r="B39" s="7"/>
      <c r="C39" s="6"/>
      <c r="D39" s="6"/>
      <c r="E39" s="6"/>
      <c r="F39" s="6"/>
      <c r="G39" s="6"/>
      <c r="H39" s="6"/>
      <c r="I39" s="6"/>
    </row>
    <row r="40" spans="1:9" ht="15.75" customHeight="1">
      <c r="A40" s="6"/>
      <c r="B40" s="7"/>
      <c r="C40" s="6"/>
      <c r="D40" s="6"/>
      <c r="E40" s="6"/>
      <c r="F40" s="6"/>
      <c r="G40" s="6"/>
      <c r="H40" s="6"/>
      <c r="I40" s="6"/>
    </row>
    <row r="41" spans="1:9" ht="15.75" customHeight="1">
      <c r="A41" s="6"/>
      <c r="B41" s="7"/>
      <c r="C41" s="6"/>
      <c r="D41" s="6"/>
      <c r="E41" s="6"/>
      <c r="F41" s="6"/>
      <c r="G41" s="6"/>
      <c r="H41" s="6"/>
      <c r="I41" s="6"/>
    </row>
    <row r="42" spans="1:9" ht="15.75" customHeight="1">
      <c r="A42" s="6"/>
      <c r="B42" s="7"/>
      <c r="C42" s="6"/>
      <c r="D42" s="6"/>
      <c r="E42" s="6"/>
      <c r="F42" s="6"/>
      <c r="G42" s="6"/>
      <c r="H42" s="6"/>
      <c r="I42" s="6"/>
    </row>
    <row r="43" spans="1:9" ht="15.75" customHeight="1">
      <c r="A43" s="6"/>
      <c r="B43" s="7"/>
      <c r="C43" s="6"/>
      <c r="D43" s="6"/>
      <c r="E43" s="6"/>
      <c r="F43" s="6"/>
      <c r="G43" s="6"/>
      <c r="H43" s="6"/>
      <c r="I43" s="6"/>
    </row>
    <row r="44" spans="1:9" ht="15.75" customHeight="1">
      <c r="A44" s="6"/>
      <c r="B44" s="7"/>
      <c r="C44" s="6"/>
      <c r="D44" s="6"/>
      <c r="E44" s="6"/>
      <c r="F44" s="6"/>
      <c r="G44" s="6"/>
      <c r="H44" s="6"/>
      <c r="I44" s="6"/>
    </row>
    <row r="45" spans="1:9" ht="15.75" customHeight="1">
      <c r="A45" s="6"/>
      <c r="B45" s="7"/>
      <c r="C45" s="6"/>
      <c r="D45" s="6"/>
      <c r="E45" s="6"/>
      <c r="F45" s="6"/>
      <c r="G45" s="6"/>
      <c r="H45" s="6"/>
      <c r="I45" s="6"/>
    </row>
    <row r="46" spans="1:9" ht="15.75" customHeight="1">
      <c r="A46" s="6"/>
      <c r="B46" s="7"/>
      <c r="C46" s="6"/>
      <c r="D46" s="6"/>
      <c r="E46" s="6"/>
      <c r="F46" s="6"/>
      <c r="G46" s="6"/>
      <c r="H46" s="6"/>
      <c r="I46" s="6"/>
    </row>
    <row r="47" spans="1:9" ht="15.75" customHeight="1">
      <c r="A47" s="6"/>
      <c r="B47" s="7"/>
      <c r="C47" s="6"/>
      <c r="D47" s="6"/>
      <c r="E47" s="6"/>
      <c r="F47" s="6"/>
      <c r="G47" s="6"/>
      <c r="H47" s="6"/>
      <c r="I47" s="6"/>
    </row>
    <row r="48" spans="1:9" ht="15.75" customHeight="1">
      <c r="A48" s="6"/>
      <c r="B48" s="7"/>
      <c r="C48" s="6"/>
      <c r="D48" s="6"/>
      <c r="E48" s="6"/>
      <c r="F48" s="6"/>
      <c r="G48" s="6"/>
      <c r="H48" s="6"/>
      <c r="I48" s="6"/>
    </row>
    <row r="49" spans="1:9" ht="15.75" customHeight="1">
      <c r="A49" s="6"/>
      <c r="B49" s="7"/>
      <c r="C49" s="6"/>
      <c r="D49" s="6"/>
      <c r="E49" s="6"/>
      <c r="F49" s="6"/>
      <c r="G49" s="6"/>
      <c r="H49" s="6"/>
      <c r="I49" s="6"/>
    </row>
    <row r="50" spans="1:9" ht="15.75" customHeight="1">
      <c r="A50" s="6"/>
      <c r="B50" s="7"/>
      <c r="C50" s="6"/>
      <c r="D50" s="6"/>
      <c r="E50" s="6"/>
      <c r="F50" s="6"/>
      <c r="G50" s="6"/>
      <c r="H50" s="6"/>
      <c r="I50" s="6"/>
    </row>
    <row r="51" spans="1:9" ht="15.75" customHeight="1">
      <c r="A51" s="6"/>
      <c r="B51" s="7"/>
      <c r="C51" s="6"/>
      <c r="D51" s="6"/>
      <c r="E51" s="6"/>
      <c r="F51" s="6"/>
      <c r="G51" s="6"/>
      <c r="H51" s="6"/>
      <c r="I51" s="6"/>
    </row>
    <row r="52" spans="1:9" ht="15.75" customHeight="1">
      <c r="A52" s="6"/>
      <c r="B52" s="7"/>
      <c r="C52" s="6"/>
      <c r="D52" s="6"/>
      <c r="E52" s="6"/>
      <c r="F52" s="6"/>
      <c r="G52" s="6"/>
      <c r="H52" s="6"/>
      <c r="I52" s="6"/>
    </row>
    <row r="53" spans="1:9" ht="15.75" customHeight="1">
      <c r="A53" s="6"/>
      <c r="B53" s="7"/>
      <c r="C53" s="6"/>
      <c r="D53" s="6"/>
      <c r="E53" s="6"/>
      <c r="F53" s="6"/>
      <c r="G53" s="6"/>
      <c r="H53" s="6"/>
      <c r="I53" s="6"/>
    </row>
    <row r="54" spans="1:9" ht="15.75" customHeight="1">
      <c r="A54" s="6"/>
      <c r="B54" s="7"/>
      <c r="C54" s="6"/>
      <c r="D54" s="6"/>
      <c r="E54" s="6"/>
      <c r="F54" s="6"/>
      <c r="G54" s="6"/>
      <c r="H54" s="6"/>
      <c r="I54" s="6"/>
    </row>
    <row r="55" spans="1:9" ht="15.75" customHeight="1">
      <c r="A55" s="6"/>
      <c r="B55" s="7"/>
      <c r="C55" s="6"/>
      <c r="D55" s="6"/>
      <c r="E55" s="6"/>
      <c r="F55" s="6"/>
      <c r="G55" s="6"/>
      <c r="H55" s="6"/>
      <c r="I55" s="6"/>
    </row>
    <row r="56" spans="1:9" ht="15.75" customHeight="1">
      <c r="A56" s="6"/>
      <c r="B56" s="7"/>
      <c r="C56" s="6"/>
      <c r="D56" s="6"/>
      <c r="E56" s="6"/>
      <c r="F56" s="6"/>
      <c r="G56" s="6"/>
      <c r="H56" s="6"/>
      <c r="I56" s="6"/>
    </row>
    <row r="57" spans="1:9" ht="15.75" customHeight="1">
      <c r="A57" s="6"/>
      <c r="B57" s="7"/>
      <c r="C57" s="6"/>
      <c r="D57" s="6"/>
      <c r="E57" s="6"/>
      <c r="F57" s="6"/>
      <c r="G57" s="6"/>
      <c r="H57" s="6"/>
      <c r="I57" s="6"/>
    </row>
    <row r="58" spans="1:9" ht="15.75" customHeight="1">
      <c r="A58" s="6"/>
      <c r="B58" s="7"/>
      <c r="C58" s="6"/>
      <c r="D58" s="6"/>
      <c r="E58" s="6"/>
      <c r="F58" s="6"/>
      <c r="G58" s="6"/>
      <c r="H58" s="6"/>
      <c r="I58" s="6"/>
    </row>
    <row r="59" spans="1:9" ht="15.75" customHeight="1">
      <c r="A59" s="6"/>
      <c r="B59" s="7"/>
      <c r="C59" s="6"/>
      <c r="D59" s="6"/>
      <c r="E59" s="6"/>
      <c r="F59" s="6"/>
      <c r="G59" s="6"/>
      <c r="H59" s="6"/>
      <c r="I59" s="6"/>
    </row>
    <row r="60" spans="1:9" ht="15.75" customHeight="1">
      <c r="A60" s="6"/>
      <c r="B60" s="7"/>
      <c r="C60" s="6"/>
      <c r="D60" s="6"/>
      <c r="E60" s="6"/>
      <c r="F60" s="6"/>
      <c r="G60" s="6"/>
      <c r="H60" s="6"/>
      <c r="I60" s="6"/>
    </row>
    <row r="61" spans="1:9" ht="15.75" customHeight="1">
      <c r="A61" s="6"/>
      <c r="B61" s="7"/>
      <c r="C61" s="6"/>
      <c r="D61" s="6"/>
      <c r="E61" s="6"/>
      <c r="F61" s="6"/>
      <c r="G61" s="6"/>
      <c r="H61" s="6"/>
      <c r="I61" s="6"/>
    </row>
    <row r="62" spans="1:9" ht="15.75" customHeight="1">
      <c r="A62" s="6"/>
      <c r="B62" s="7"/>
      <c r="C62" s="6"/>
      <c r="D62" s="6"/>
      <c r="E62" s="6"/>
      <c r="F62" s="6"/>
      <c r="G62" s="6"/>
      <c r="H62" s="6"/>
      <c r="I62" s="6"/>
    </row>
    <row r="63" spans="1:9" ht="15.75" customHeight="1">
      <c r="A63" s="6"/>
      <c r="B63" s="7"/>
      <c r="C63" s="6"/>
      <c r="D63" s="6"/>
      <c r="E63" s="6"/>
      <c r="F63" s="6"/>
      <c r="G63" s="6"/>
      <c r="H63" s="6"/>
      <c r="I63" s="6"/>
    </row>
    <row r="64" spans="1:9" ht="15.75" customHeight="1">
      <c r="A64" s="6"/>
      <c r="B64" s="7"/>
      <c r="C64" s="6"/>
      <c r="D64" s="6"/>
      <c r="E64" s="6"/>
      <c r="F64" s="6"/>
      <c r="G64" s="6"/>
      <c r="H64" s="6"/>
      <c r="I64" s="6"/>
    </row>
    <row r="65" spans="1:9" ht="15.75" customHeight="1">
      <c r="A65" s="6"/>
      <c r="B65" s="7"/>
      <c r="C65" s="6"/>
      <c r="D65" s="6"/>
      <c r="E65" s="6"/>
      <c r="F65" s="6"/>
      <c r="G65" s="6"/>
      <c r="H65" s="6"/>
      <c r="I65" s="6"/>
    </row>
    <row r="66" spans="1:9" ht="15.75" customHeight="1">
      <c r="A66" s="6"/>
      <c r="B66" s="7"/>
      <c r="C66" s="6"/>
      <c r="D66" s="6"/>
      <c r="E66" s="6"/>
      <c r="F66" s="6"/>
      <c r="G66" s="6"/>
      <c r="H66" s="6"/>
      <c r="I66" s="6"/>
    </row>
    <row r="67" spans="1:9" ht="15.75" customHeight="1">
      <c r="A67" s="6"/>
      <c r="B67" s="7"/>
      <c r="C67" s="6"/>
      <c r="D67" s="6"/>
      <c r="E67" s="6"/>
      <c r="F67" s="6"/>
      <c r="G67" s="6"/>
      <c r="H67" s="6"/>
      <c r="I67" s="6"/>
    </row>
    <row r="68" spans="1:9" ht="15.75" customHeight="1">
      <c r="A68" s="6"/>
      <c r="B68" s="7"/>
      <c r="C68" s="6"/>
      <c r="D68" s="6"/>
      <c r="E68" s="6"/>
      <c r="F68" s="6"/>
      <c r="G68" s="6"/>
      <c r="H68" s="6"/>
      <c r="I68" s="6"/>
    </row>
    <row r="69" spans="1:9" ht="15.75" customHeight="1">
      <c r="A69" s="6"/>
      <c r="B69" s="7"/>
      <c r="C69" s="6"/>
      <c r="D69" s="6"/>
      <c r="E69" s="6"/>
      <c r="F69" s="6"/>
      <c r="G69" s="6"/>
      <c r="H69" s="6"/>
      <c r="I69" s="6"/>
    </row>
    <row r="70" spans="1:9" ht="15.75" customHeight="1">
      <c r="A70" s="6"/>
      <c r="B70" s="7"/>
      <c r="C70" s="6"/>
      <c r="D70" s="6"/>
      <c r="E70" s="6"/>
      <c r="F70" s="6"/>
      <c r="G70" s="6"/>
      <c r="H70" s="6"/>
      <c r="I70" s="6"/>
    </row>
    <row r="71" spans="1:9" ht="15.75" customHeight="1">
      <c r="A71" s="6"/>
      <c r="B71" s="7"/>
      <c r="C71" s="6"/>
      <c r="D71" s="6"/>
      <c r="E71" s="6"/>
      <c r="F71" s="6"/>
      <c r="G71" s="6"/>
      <c r="H71" s="6"/>
      <c r="I71" s="6"/>
    </row>
    <row r="72" spans="1:9" ht="15.75" customHeight="1">
      <c r="A72" s="6"/>
      <c r="B72" s="7"/>
      <c r="C72" s="6"/>
      <c r="D72" s="6"/>
      <c r="E72" s="6"/>
      <c r="F72" s="6"/>
      <c r="G72" s="6"/>
      <c r="H72" s="6"/>
      <c r="I72" s="6"/>
    </row>
    <row r="73" spans="1:9" ht="15.75" customHeight="1">
      <c r="A73" s="6"/>
      <c r="B73" s="7"/>
      <c r="C73" s="6"/>
      <c r="D73" s="6"/>
      <c r="E73" s="6"/>
      <c r="F73" s="6"/>
      <c r="G73" s="6"/>
      <c r="H73" s="6"/>
      <c r="I73" s="6"/>
    </row>
    <row r="74" spans="1:9" ht="15.75" customHeight="1">
      <c r="A74" s="6"/>
      <c r="B74" s="7"/>
      <c r="C74" s="6"/>
      <c r="D74" s="6"/>
      <c r="E74" s="6"/>
      <c r="F74" s="6"/>
      <c r="G74" s="6"/>
      <c r="H74" s="6"/>
      <c r="I74" s="6"/>
    </row>
    <row r="75" spans="1:9" ht="15.75" customHeight="1">
      <c r="A75" s="6"/>
      <c r="B75" s="7"/>
      <c r="C75" s="6"/>
      <c r="D75" s="6"/>
      <c r="E75" s="6"/>
      <c r="F75" s="6"/>
      <c r="G75" s="6"/>
      <c r="H75" s="6"/>
      <c r="I75" s="6"/>
    </row>
    <row r="76" spans="1:9" ht="15.75" customHeight="1">
      <c r="A76" s="6"/>
      <c r="B76" s="7"/>
      <c r="C76" s="6"/>
      <c r="D76" s="6"/>
      <c r="E76" s="6"/>
      <c r="F76" s="6"/>
      <c r="G76" s="6"/>
      <c r="H76" s="6"/>
      <c r="I76" s="6"/>
    </row>
    <row r="77" spans="1:9" ht="15.75" customHeight="1">
      <c r="A77" s="6"/>
      <c r="B77" s="7"/>
      <c r="C77" s="6"/>
      <c r="D77" s="6"/>
      <c r="E77" s="6"/>
      <c r="F77" s="6"/>
      <c r="G77" s="6"/>
      <c r="H77" s="6"/>
      <c r="I77" s="6"/>
    </row>
    <row r="78" spans="1:9" ht="15.75" customHeight="1">
      <c r="A78" s="6"/>
      <c r="B78" s="7"/>
      <c r="C78" s="6"/>
      <c r="D78" s="6"/>
      <c r="E78" s="6"/>
      <c r="F78" s="6"/>
      <c r="G78" s="6"/>
      <c r="H78" s="6"/>
      <c r="I78" s="6"/>
    </row>
    <row r="79" spans="1:9" ht="15.75" customHeight="1">
      <c r="A79" s="6"/>
      <c r="B79" s="7"/>
      <c r="C79" s="6"/>
      <c r="D79" s="6"/>
      <c r="E79" s="6"/>
      <c r="F79" s="6"/>
      <c r="G79" s="6"/>
      <c r="H79" s="6"/>
      <c r="I79" s="6"/>
    </row>
    <row r="80" spans="1:9" ht="15.75" customHeight="1">
      <c r="A80" s="6"/>
      <c r="B80" s="7"/>
      <c r="C80" s="6"/>
      <c r="D80" s="6"/>
      <c r="E80" s="6"/>
      <c r="F80" s="6"/>
      <c r="G80" s="6"/>
      <c r="H80" s="6"/>
      <c r="I80" s="6"/>
    </row>
    <row r="81" spans="1:9" ht="15.75" customHeight="1">
      <c r="A81" s="6"/>
      <c r="B81" s="7"/>
      <c r="C81" s="6"/>
      <c r="D81" s="6"/>
      <c r="E81" s="6"/>
      <c r="F81" s="6"/>
      <c r="G81" s="6"/>
      <c r="H81" s="6"/>
      <c r="I81" s="6"/>
    </row>
    <row r="82" spans="1:9" ht="15.75" customHeight="1">
      <c r="A82" s="6"/>
      <c r="B82" s="7"/>
      <c r="C82" s="6"/>
      <c r="D82" s="6"/>
      <c r="E82" s="6"/>
      <c r="F82" s="6"/>
      <c r="G82" s="6"/>
      <c r="H82" s="6"/>
      <c r="I82" s="6"/>
    </row>
    <row r="83" spans="1:9" ht="15.75" customHeight="1">
      <c r="A83" s="6"/>
      <c r="B83" s="7"/>
      <c r="C83" s="6"/>
      <c r="D83" s="6"/>
      <c r="E83" s="6"/>
      <c r="F83" s="6"/>
      <c r="G83" s="6"/>
      <c r="H83" s="6"/>
      <c r="I83" s="6"/>
    </row>
    <row r="84" spans="1:9" ht="15.75" customHeight="1">
      <c r="A84" s="6"/>
      <c r="B84" s="7"/>
      <c r="C84" s="6"/>
      <c r="D84" s="6"/>
      <c r="E84" s="6"/>
      <c r="F84" s="6"/>
      <c r="G84" s="6"/>
      <c r="H84" s="6"/>
      <c r="I84" s="6"/>
    </row>
    <row r="85" spans="1:9" ht="15.75" customHeight="1">
      <c r="A85" s="6"/>
      <c r="B85" s="7"/>
      <c r="C85" s="6"/>
      <c r="D85" s="6"/>
      <c r="E85" s="6"/>
      <c r="F85" s="6"/>
      <c r="G85" s="6"/>
      <c r="H85" s="6"/>
      <c r="I85" s="6"/>
    </row>
    <row r="86" spans="1:9" ht="15.75" customHeight="1">
      <c r="A86" s="6"/>
      <c r="B86" s="7"/>
      <c r="C86" s="6"/>
      <c r="D86" s="6"/>
      <c r="E86" s="6"/>
      <c r="F86" s="6"/>
      <c r="G86" s="6"/>
      <c r="H86" s="6"/>
      <c r="I86" s="6"/>
    </row>
    <row r="87" spans="1:9" ht="15.75" customHeight="1">
      <c r="A87" s="6"/>
      <c r="B87" s="7"/>
      <c r="C87" s="6"/>
      <c r="D87" s="6"/>
      <c r="E87" s="6"/>
      <c r="F87" s="6"/>
      <c r="G87" s="6"/>
      <c r="H87" s="6"/>
      <c r="I87" s="6"/>
    </row>
    <row r="88" spans="1:9" ht="15.75" customHeight="1">
      <c r="A88" s="6"/>
      <c r="B88" s="7"/>
      <c r="C88" s="6"/>
      <c r="D88" s="6"/>
      <c r="E88" s="6"/>
      <c r="F88" s="6"/>
      <c r="G88" s="6"/>
      <c r="H88" s="6"/>
      <c r="I88" s="6"/>
    </row>
    <row r="89" spans="1:9" ht="15.75" customHeight="1">
      <c r="A89" s="6"/>
      <c r="B89" s="7"/>
      <c r="C89" s="6"/>
      <c r="D89" s="6"/>
      <c r="E89" s="6"/>
      <c r="F89" s="6"/>
      <c r="G89" s="6"/>
      <c r="H89" s="6"/>
      <c r="I89" s="6"/>
    </row>
    <row r="90" spans="1:9" ht="15.75" customHeight="1">
      <c r="A90" s="6"/>
      <c r="B90" s="7"/>
      <c r="C90" s="6"/>
      <c r="D90" s="6"/>
      <c r="E90" s="6"/>
      <c r="F90" s="6"/>
      <c r="G90" s="6"/>
      <c r="H90" s="6"/>
      <c r="I90" s="6"/>
    </row>
    <row r="91" spans="1:9" ht="15.75" customHeight="1">
      <c r="A91" s="6"/>
      <c r="B91" s="7"/>
      <c r="C91" s="6"/>
      <c r="D91" s="6"/>
      <c r="E91" s="6"/>
      <c r="F91" s="6"/>
      <c r="G91" s="6"/>
      <c r="H91" s="6"/>
      <c r="I91" s="6"/>
    </row>
    <row r="92" spans="1:9" ht="15.75" customHeight="1">
      <c r="A92" s="6"/>
      <c r="B92" s="7"/>
      <c r="C92" s="6"/>
      <c r="D92" s="6"/>
      <c r="E92" s="6"/>
      <c r="F92" s="6"/>
      <c r="G92" s="6"/>
      <c r="H92" s="6"/>
      <c r="I92" s="6"/>
    </row>
    <row r="93" spans="1:9" ht="15.75" customHeight="1">
      <c r="A93" s="6"/>
      <c r="B93" s="7"/>
      <c r="C93" s="6"/>
      <c r="D93" s="6"/>
      <c r="E93" s="6"/>
      <c r="F93" s="6"/>
      <c r="G93" s="6"/>
      <c r="H93" s="6"/>
      <c r="I93" s="6"/>
    </row>
    <row r="94" spans="1:9" ht="15.75" customHeight="1">
      <c r="A94" s="6"/>
      <c r="B94" s="7"/>
      <c r="C94" s="6"/>
      <c r="D94" s="6"/>
      <c r="E94" s="6"/>
      <c r="F94" s="6"/>
      <c r="G94" s="6"/>
      <c r="H94" s="6"/>
      <c r="I94" s="6"/>
    </row>
    <row r="95" spans="1:9" ht="15.75" customHeight="1">
      <c r="A95" s="6"/>
      <c r="B95" s="7"/>
      <c r="C95" s="6"/>
      <c r="D95" s="6"/>
      <c r="E95" s="6"/>
      <c r="F95" s="6"/>
      <c r="G95" s="6"/>
      <c r="H95" s="6"/>
      <c r="I95" s="6"/>
    </row>
    <row r="96" spans="1:9" ht="15.75" customHeight="1">
      <c r="A96" s="6"/>
      <c r="B96" s="7"/>
      <c r="C96" s="6"/>
      <c r="D96" s="6"/>
      <c r="E96" s="6"/>
      <c r="F96" s="6"/>
      <c r="G96" s="6"/>
      <c r="H96" s="6"/>
      <c r="I96" s="6"/>
    </row>
    <row r="97" spans="1:9" ht="15.75" customHeight="1">
      <c r="A97" s="6"/>
      <c r="B97" s="7"/>
      <c r="C97" s="6"/>
      <c r="D97" s="6"/>
      <c r="E97" s="6"/>
      <c r="F97" s="6"/>
      <c r="G97" s="6"/>
      <c r="H97" s="6"/>
      <c r="I97" s="6"/>
    </row>
    <row r="98" spans="1:9" ht="15.75" customHeight="1">
      <c r="A98" s="6"/>
      <c r="B98" s="7"/>
      <c r="C98" s="6"/>
      <c r="D98" s="6"/>
      <c r="E98" s="6"/>
      <c r="F98" s="6"/>
      <c r="G98" s="6"/>
      <c r="H98" s="6"/>
      <c r="I98" s="6"/>
    </row>
    <row r="99" spans="1:9" ht="15.75" customHeight="1">
      <c r="A99" s="6"/>
      <c r="B99" s="7"/>
      <c r="C99" s="6"/>
      <c r="D99" s="6"/>
      <c r="E99" s="6"/>
      <c r="F99" s="6"/>
      <c r="G99" s="6"/>
      <c r="H99" s="6"/>
      <c r="I99" s="6"/>
    </row>
    <row r="100" spans="1:9" ht="15.75" customHeight="1">
      <c r="A100" s="6"/>
      <c r="B100" s="7"/>
      <c r="C100" s="6"/>
      <c r="D100" s="6"/>
      <c r="E100" s="6"/>
      <c r="F100" s="6"/>
      <c r="G100" s="6"/>
      <c r="H100" s="6"/>
      <c r="I100" s="6"/>
    </row>
    <row r="101" spans="1:9" ht="15.75" customHeight="1">
      <c r="A101" s="6"/>
      <c r="B101" s="7"/>
      <c r="C101" s="6"/>
      <c r="D101" s="6"/>
      <c r="E101" s="6"/>
      <c r="F101" s="6"/>
      <c r="G101" s="6"/>
      <c r="H101" s="6"/>
      <c r="I101" s="6"/>
    </row>
  </sheetData>
  <sortState xmlns:xlrd2="http://schemas.microsoft.com/office/spreadsheetml/2017/richdata2" ref="A3:I22">
    <sortCondition ref="B3:B22"/>
  </sortState>
  <conditionalFormatting sqref="B24:B27">
    <cfRule type="cellIs" dxfId="1557" priority="5" operator="equal">
      <formula>9</formula>
    </cfRule>
    <cfRule type="cellIs" dxfId="1556" priority="6" operator="equal">
      <formula>9.3</formula>
    </cfRule>
    <cfRule type="cellIs" dxfId="1555" priority="7" operator="equal">
      <formula>9.6</formula>
    </cfRule>
    <cfRule type="cellIs" dxfId="1554" priority="8" operator="equal">
      <formula>9.9</formula>
    </cfRule>
  </conditionalFormatting>
  <conditionalFormatting sqref="B2:H101">
    <cfRule type="cellIs" dxfId="1553" priority="1" operator="equal">
      <formula>9</formula>
    </cfRule>
  </conditionalFormatting>
  <conditionalFormatting sqref="C2:H101">
    <cfRule type="cellIs" dxfId="1552" priority="2" operator="equal">
      <formula>9.3</formula>
    </cfRule>
    <cfRule type="cellIs" dxfId="1551" priority="3" operator="equal">
      <formula>9.6</formula>
    </cfRule>
    <cfRule type="cellIs" dxfId="1550" priority="4" operator="equal">
      <formula>9.9</formula>
    </cfRule>
  </conditionalFormatting>
  <printOptions horizontalCentered="1" verticalCentered="1"/>
  <pageMargins left="0.25" right="0.25" top="0.75" bottom="0.75" header="0.3" footer="0.3"/>
  <pageSetup paperSize="9" scale="85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3FC8-204B-4B4D-A66B-7A018B88B708}">
  <sheetPr>
    <pageSetUpPr fitToPage="1"/>
  </sheetPr>
  <dimension ref="A1:I100"/>
  <sheetViews>
    <sheetView topLeftCell="A22" workbookViewId="0">
      <selection activeCell="A31" sqref="A31"/>
    </sheetView>
  </sheetViews>
  <sheetFormatPr defaultColWidth="14.42578125" defaultRowHeight="15" customHeight="1"/>
  <cols>
    <col min="1" max="1" width="26.28515625" bestFit="1" customWidth="1"/>
    <col min="2" max="2" width="9.85546875" customWidth="1"/>
    <col min="3" max="3" width="9.140625" customWidth="1"/>
    <col min="4" max="4" width="8" customWidth="1"/>
    <col min="5" max="5" width="9.42578125" customWidth="1"/>
    <col min="6" max="6" width="10.140625" customWidth="1"/>
    <col min="7" max="7" width="12.85546875" customWidth="1"/>
    <col min="8" max="8" width="11" hidden="1" customWidth="1"/>
    <col min="9" max="9" width="11.42578125" customWidth="1"/>
  </cols>
  <sheetData>
    <row r="1" spans="1:9" ht="35.25">
      <c r="A1" s="269" t="s">
        <v>33</v>
      </c>
      <c r="B1" s="270"/>
      <c r="C1" s="8" t="s">
        <v>34</v>
      </c>
      <c r="D1" s="9" t="s">
        <v>35</v>
      </c>
      <c r="E1" s="10">
        <f>G3+G14+G25+F37+G40+G51</f>
        <v>73.199999999999989</v>
      </c>
      <c r="F1" s="11" t="s">
        <v>36</v>
      </c>
      <c r="G1" s="12">
        <f>G5+G16+G27+G37+G42+G53</f>
        <v>67.199999999999989</v>
      </c>
      <c r="H1" s="183">
        <f>(H4+H5+H6+H7+H8+H9+H10+H11+H16+H17+H18+H19+H20+H21+H22+H15+H27+H28+H29+H30+H31+H32+H33+H26+H41+H37+H44+H45+H46+H47+H48+H52+H42+H43+H55+H56+H57+H58+H59+H53+H54)/36</f>
        <v>0.70972222222222248</v>
      </c>
      <c r="I1" s="13"/>
    </row>
    <row r="2" spans="1:9" ht="20.25">
      <c r="A2" s="271" t="s">
        <v>2</v>
      </c>
      <c r="B2" s="272"/>
      <c r="C2" s="273" t="str">
        <f>A1</f>
        <v>YERIK</v>
      </c>
      <c r="D2" s="272"/>
      <c r="E2" s="270"/>
      <c r="F2" s="14" t="s">
        <v>37</v>
      </c>
      <c r="G2" s="15" t="s">
        <v>38</v>
      </c>
      <c r="H2" s="274" t="s">
        <v>39</v>
      </c>
      <c r="I2" s="16"/>
    </row>
    <row r="3" spans="1:9" ht="26.25">
      <c r="A3" s="109" t="s">
        <v>0</v>
      </c>
      <c r="B3" s="110" t="s">
        <v>40</v>
      </c>
      <c r="C3" s="111" t="s">
        <v>41</v>
      </c>
      <c r="D3" s="112" t="s">
        <v>42</v>
      </c>
      <c r="E3" s="113" t="s">
        <v>43</v>
      </c>
      <c r="F3" s="17">
        <f>SUM(E4:E12)</f>
        <v>0.8</v>
      </c>
      <c r="G3" s="18">
        <f>10+F3+F5+F11</f>
        <v>12.3</v>
      </c>
      <c r="H3" s="275"/>
      <c r="I3" s="16"/>
    </row>
    <row r="4" spans="1:9">
      <c r="A4" s="91" t="s">
        <v>44</v>
      </c>
      <c r="B4" s="29" t="s">
        <v>45</v>
      </c>
      <c r="C4" s="174" t="s">
        <v>46</v>
      </c>
      <c r="D4" s="140" t="s">
        <v>47</v>
      </c>
      <c r="E4" s="172">
        <f t="shared" ref="E4" si="0">IF(D4="F",0.6,IF(D4="C",0.3,IF(D4="D",0.4,IF(D4="E",0.5,IF(D4="A",0.1,IF(D4="G",0.7,IF(D4="H",0.8,IF(D4="B",0.2,""))))))))</f>
        <v>0.1</v>
      </c>
      <c r="F4" s="20" t="s">
        <v>48</v>
      </c>
      <c r="G4" s="21" t="s">
        <v>49</v>
      </c>
      <c r="H4" s="22">
        <v>0.95</v>
      </c>
      <c r="I4" s="16"/>
    </row>
    <row r="5" spans="1:9">
      <c r="A5" s="23" t="s">
        <v>50</v>
      </c>
      <c r="B5" s="24">
        <v>9</v>
      </c>
      <c r="C5" s="25">
        <v>4</v>
      </c>
      <c r="D5" s="107" t="s">
        <v>51</v>
      </c>
      <c r="E5" s="172">
        <f>IF(D5="F",0.6,IF(D5="C",0.3,IF(D5="D",0.4,IF(D5="E",0.5,IF(D5="A",0.1,IF(D5="G",0.7,IF(D5="H",0.8,IF(D5="B",0.2,""))))))))</f>
        <v>0.2</v>
      </c>
      <c r="F5" s="26">
        <v>1.5</v>
      </c>
      <c r="G5" s="27">
        <f>G3-1</f>
        <v>11.3</v>
      </c>
      <c r="H5" s="22">
        <v>0.6</v>
      </c>
      <c r="I5" s="16"/>
    </row>
    <row r="6" spans="1:9">
      <c r="A6" s="124" t="s">
        <v>52</v>
      </c>
      <c r="B6" s="24">
        <v>61</v>
      </c>
      <c r="C6" s="30">
        <v>1</v>
      </c>
      <c r="D6" s="140" t="s">
        <v>47</v>
      </c>
      <c r="E6" s="172">
        <f t="shared" ref="E6:E11" si="1">IF(D6="F",0.6,IF(D6="C",0.3,IF(D6="D",0.4,IF(D6="E",0.5,IF(D6="A",0.1,IF(D6="G",0.7,IF(D6="H",0.8,IF(D6="B",0.2,""))))))))</f>
        <v>0.1</v>
      </c>
      <c r="H6" s="22">
        <v>0.7</v>
      </c>
      <c r="I6" s="16"/>
    </row>
    <row r="7" spans="1:9">
      <c r="A7" s="23" t="s">
        <v>53</v>
      </c>
      <c r="B7" s="24">
        <v>1</v>
      </c>
      <c r="C7" s="25">
        <v>2</v>
      </c>
      <c r="D7" s="140" t="s">
        <v>47</v>
      </c>
      <c r="E7" s="172">
        <f t="shared" si="1"/>
        <v>0.1</v>
      </c>
      <c r="F7" s="31"/>
      <c r="G7" s="31"/>
      <c r="H7" s="22">
        <v>0.7</v>
      </c>
      <c r="I7" s="16"/>
    </row>
    <row r="8" spans="1:9" ht="15.75">
      <c r="A8" s="23" t="s">
        <v>54</v>
      </c>
      <c r="B8" s="78">
        <v>13</v>
      </c>
      <c r="C8" s="205">
        <v>2</v>
      </c>
      <c r="D8" s="245" t="s">
        <v>47</v>
      </c>
      <c r="E8" s="195">
        <f>IF(D8="F",0.6,IF(D8="C",0.3,IF(D8="D",0.4,IF(D8="E",0.5,IF(D8="A",0.1,IF(D8="G",0.7,IF(D8="H",0.8,IF(D8="B",0.2,""))))))))</f>
        <v>0.1</v>
      </c>
      <c r="F8" s="31"/>
      <c r="G8" s="31"/>
      <c r="H8" s="22">
        <v>0.85</v>
      </c>
      <c r="I8" s="16"/>
    </row>
    <row r="9" spans="1:9">
      <c r="A9" s="244" t="s">
        <v>55</v>
      </c>
      <c r="B9" s="201"/>
      <c r="C9" s="201"/>
      <c r="D9" s="201"/>
      <c r="E9" s="201"/>
      <c r="F9" s="90"/>
      <c r="G9" s="31"/>
      <c r="H9" s="22">
        <v>0.9</v>
      </c>
      <c r="I9" s="16"/>
    </row>
    <row r="10" spans="1:9" ht="15.75">
      <c r="A10" s="32" t="s">
        <v>44</v>
      </c>
      <c r="B10" s="248"/>
      <c r="C10" s="246"/>
      <c r="D10" s="247"/>
      <c r="E10" s="203" t="str">
        <f t="shared" si="1"/>
        <v/>
      </c>
      <c r="F10" s="33" t="s">
        <v>56</v>
      </c>
      <c r="G10" s="31"/>
      <c r="H10" s="22">
        <v>0.95</v>
      </c>
      <c r="I10" s="16"/>
    </row>
    <row r="11" spans="1:9">
      <c r="A11" s="23" t="s">
        <v>57</v>
      </c>
      <c r="B11" s="29">
        <v>2</v>
      </c>
      <c r="C11" s="35">
        <v>3</v>
      </c>
      <c r="D11" s="140" t="s">
        <v>51</v>
      </c>
      <c r="E11" s="172">
        <f t="shared" si="1"/>
        <v>0.2</v>
      </c>
      <c r="F11" s="36"/>
      <c r="G11" s="31"/>
      <c r="H11" s="22">
        <v>0.8</v>
      </c>
      <c r="I11" s="16"/>
    </row>
    <row r="12" spans="1:9">
      <c r="B12" s="37"/>
      <c r="D12" s="38"/>
      <c r="E12" s="39"/>
      <c r="G12" s="31"/>
      <c r="H12" s="22"/>
      <c r="I12" s="16"/>
    </row>
    <row r="13" spans="1:9" ht="20.25">
      <c r="A13" s="271" t="s">
        <v>58</v>
      </c>
      <c r="B13" s="272"/>
      <c r="C13" s="273" t="str">
        <f>A1</f>
        <v>YERIK</v>
      </c>
      <c r="D13" s="272"/>
      <c r="E13" s="270"/>
      <c r="F13" s="14" t="s">
        <v>37</v>
      </c>
      <c r="G13" s="15" t="s">
        <v>38</v>
      </c>
      <c r="H13" s="274" t="s">
        <v>39</v>
      </c>
      <c r="I13" s="16"/>
    </row>
    <row r="14" spans="1:9" ht="28.5">
      <c r="A14" s="109" t="s">
        <v>0</v>
      </c>
      <c r="B14" s="110" t="s">
        <v>40</v>
      </c>
      <c r="C14" s="111" t="s">
        <v>41</v>
      </c>
      <c r="D14" s="112" t="s">
        <v>42</v>
      </c>
      <c r="E14" s="113" t="s">
        <v>43</v>
      </c>
      <c r="F14" s="17">
        <f>SUM(E15:E21)+F18</f>
        <v>0.5</v>
      </c>
      <c r="G14" s="18">
        <f>10+F14+F16+G23</f>
        <v>12</v>
      </c>
      <c r="H14" s="275"/>
      <c r="I14" s="16"/>
    </row>
    <row r="15" spans="1:9" ht="15.75">
      <c r="A15" s="23" t="s">
        <v>59</v>
      </c>
      <c r="B15" s="29">
        <v>7</v>
      </c>
      <c r="C15" s="34">
        <v>2</v>
      </c>
      <c r="D15" s="184" t="s">
        <v>47</v>
      </c>
      <c r="E15" s="172">
        <f>IF(D15="F",0.6,IF(D15="C",0.3,IF(D15="D",0.4,IF(D15="E",0.5,IF(D15="A",0.1,IF(D15="G",0.7,IF(D15="H",0.8,IF(D15="B",0.2,""))))))))</f>
        <v>0.1</v>
      </c>
      <c r="F15" s="20" t="s">
        <v>48</v>
      </c>
      <c r="G15" s="21" t="s">
        <v>49</v>
      </c>
      <c r="H15" s="22">
        <v>0.8</v>
      </c>
      <c r="I15" s="16"/>
    </row>
    <row r="16" spans="1:9" ht="15.75">
      <c r="A16" s="23" t="s">
        <v>60</v>
      </c>
      <c r="B16" s="29">
        <v>25</v>
      </c>
      <c r="C16" s="35">
        <v>2</v>
      </c>
      <c r="D16" s="25" t="s">
        <v>47</v>
      </c>
      <c r="E16" s="172">
        <f t="shared" ref="E16" si="2">IF(D16="F",0.6,IF(D16="C",0.3,IF(D16="D",0.4,IF(D16="E",0.5,IF(D16="A",0.1,IF(D16="G",0.7,IF(D16="H",0.8,IF(D16="B",0.2,""))))))))</f>
        <v>0.1</v>
      </c>
      <c r="F16" s="26">
        <v>1.5</v>
      </c>
      <c r="G16" s="27">
        <f>G14-1</f>
        <v>11</v>
      </c>
      <c r="H16" s="22">
        <v>0.65</v>
      </c>
      <c r="I16" s="16"/>
    </row>
    <row r="17" spans="1:9" ht="15.75">
      <c r="A17" s="174" t="s">
        <v>61</v>
      </c>
      <c r="B17" s="207"/>
      <c r="C17" s="174"/>
      <c r="D17" s="175"/>
      <c r="E17" s="249"/>
      <c r="G17" s="31"/>
      <c r="H17" s="22">
        <v>0.7</v>
      </c>
      <c r="I17" s="16"/>
    </row>
    <row r="18" spans="1:9" ht="15.75">
      <c r="A18" s="23" t="s">
        <v>62</v>
      </c>
      <c r="B18" s="29">
        <v>1</v>
      </c>
      <c r="C18" s="35">
        <v>1</v>
      </c>
      <c r="D18" s="171" t="s">
        <v>47</v>
      </c>
      <c r="E18" s="172">
        <f>IF(D18="F",0.6,IF(D18="C",0.3,IF(D18="D",0.4,IF(D18="E",0.5,IF(D18="A",0.1,IF(D18="G",0.7,IF(D18="H",0.8,IF(D18="B",0.2,""))))))))</f>
        <v>0.1</v>
      </c>
      <c r="G18" s="31"/>
      <c r="H18" s="22">
        <v>0.65</v>
      </c>
      <c r="I18" s="16"/>
    </row>
    <row r="19" spans="1:9" ht="15.75">
      <c r="A19" s="23" t="s">
        <v>63</v>
      </c>
      <c r="B19" s="29">
        <v>1</v>
      </c>
      <c r="C19" s="25">
        <v>2</v>
      </c>
      <c r="D19" s="107" t="s">
        <v>47</v>
      </c>
      <c r="E19" s="172">
        <f t="shared" ref="E19" si="3">IF(D19="F",0.6,IF(D19="C",0.3,IF(D19="D",0.4,IF(D19="E",0.5,IF(D19="A",0.1,IF(D19="G",0.7,IF(D19="H",0.8,IF(D19="B",0.2,""))))))))</f>
        <v>0.1</v>
      </c>
      <c r="F19" s="158"/>
      <c r="G19" s="31"/>
      <c r="H19" s="22">
        <v>0.2</v>
      </c>
      <c r="I19" s="16"/>
    </row>
    <row r="20" spans="1:9" ht="15.75">
      <c r="A20" s="68" t="s">
        <v>64</v>
      </c>
      <c r="B20" s="78">
        <v>1</v>
      </c>
      <c r="C20" s="193">
        <v>3</v>
      </c>
      <c r="D20" s="194" t="s">
        <v>47</v>
      </c>
      <c r="E20" s="195">
        <f>IF(D20="F",0.6,IF(D20="C",0.3,IF(D20="D",0.4,IF(D20="E",0.5,IF(D20="A",0.1,IF(D20="G",0.7,IF(D20="H",0.8,IF(D20="B",0.2,""))))))))</f>
        <v>0.1</v>
      </c>
      <c r="G20" s="31"/>
      <c r="H20" s="22">
        <v>0.2</v>
      </c>
      <c r="I20" s="16"/>
    </row>
    <row r="21" spans="1:9" ht="15.75" customHeight="1">
      <c r="A21" s="174" t="s">
        <v>59</v>
      </c>
      <c r="B21" s="207"/>
      <c r="C21" s="174"/>
      <c r="D21" s="174"/>
      <c r="E21" s="249"/>
      <c r="G21" s="31"/>
      <c r="H21" s="22">
        <v>0.5</v>
      </c>
      <c r="I21" s="16"/>
    </row>
    <row r="22" spans="1:9" ht="15.75" customHeight="1">
      <c r="A22" s="23" t="s">
        <v>65</v>
      </c>
      <c r="B22" s="29">
        <v>1</v>
      </c>
      <c r="C22" s="35">
        <v>4</v>
      </c>
      <c r="D22" s="140" t="s">
        <v>47</v>
      </c>
      <c r="E22" s="172">
        <f>IF(D22="F",0.6,IF(D22="C",0.3,IF(D22="D",0.4,IF(D22="E",0.5,IF(D22="A",0.1,IF(D22="G",0.7,IF(D22="H",0.8,IF(D22="B",0.2,""))))))))</f>
        <v>0.1</v>
      </c>
      <c r="G22" s="31"/>
      <c r="H22" s="22">
        <v>0.7</v>
      </c>
      <c r="I22" s="16"/>
    </row>
    <row r="23" spans="1:9" ht="15.75" customHeight="1">
      <c r="B23" s="37"/>
      <c r="G23" s="31"/>
      <c r="H23" s="41"/>
      <c r="I23" s="16"/>
    </row>
    <row r="24" spans="1:9" ht="15.75" customHeight="1">
      <c r="A24" s="271" t="s">
        <v>66</v>
      </c>
      <c r="B24" s="272"/>
      <c r="C24" s="273" t="str">
        <f>A1</f>
        <v>YERIK</v>
      </c>
      <c r="D24" s="272"/>
      <c r="E24" s="270"/>
      <c r="F24" s="14" t="s">
        <v>37</v>
      </c>
      <c r="G24" s="15" t="s">
        <v>38</v>
      </c>
      <c r="H24" s="274" t="s">
        <v>39</v>
      </c>
      <c r="I24" s="16"/>
    </row>
    <row r="25" spans="1:9" ht="30" customHeight="1">
      <c r="A25" s="109" t="s">
        <v>0</v>
      </c>
      <c r="B25" s="110" t="s">
        <v>40</v>
      </c>
      <c r="C25" s="111" t="s">
        <v>41</v>
      </c>
      <c r="D25" s="112" t="s">
        <v>42</v>
      </c>
      <c r="E25" s="113" t="s">
        <v>43</v>
      </c>
      <c r="F25" s="17">
        <f>SUM(E26:E33)+F29</f>
        <v>0.7</v>
      </c>
      <c r="G25" s="18">
        <f>10+F25+F27+F33</f>
        <v>12.2</v>
      </c>
      <c r="H25" s="275"/>
      <c r="I25" s="16"/>
    </row>
    <row r="26" spans="1:9" ht="15.75" customHeight="1">
      <c r="A26" s="23" t="s">
        <v>67</v>
      </c>
      <c r="B26" s="29" t="s">
        <v>45</v>
      </c>
      <c r="C26" s="174" t="s">
        <v>46</v>
      </c>
      <c r="D26" s="171" t="s">
        <v>47</v>
      </c>
      <c r="E26" s="172">
        <f>IF(D26="F",0.6,IF(D26="C",0.3,IF(D26="D",0.4,IF(D26="E",0.5,IF(D26="A",0.1,IF(D26="G",0.7,IF(D26="H",0.8,IF(D26="B",0.2,""))))))))</f>
        <v>0.1</v>
      </c>
      <c r="F26" s="20" t="s">
        <v>48</v>
      </c>
      <c r="G26" s="21" t="s">
        <v>49</v>
      </c>
      <c r="H26" s="22">
        <v>0.9</v>
      </c>
      <c r="I26" s="16"/>
    </row>
    <row r="27" spans="1:9" ht="15.75" customHeight="1">
      <c r="A27" s="23" t="s">
        <v>68</v>
      </c>
      <c r="B27" s="29" t="s">
        <v>45</v>
      </c>
      <c r="C27" s="174" t="s">
        <v>46</v>
      </c>
      <c r="D27" s="107" t="s">
        <v>47</v>
      </c>
      <c r="E27" s="172">
        <f>IF(D27="F",0.6,IF(D27="C",0.3,IF(D27="D",0.4,IF(D27="E",0.5,IF(D27="A",0.1,IF(D27="G",0.7,IF(D27="H",0.8,IF(D27="B",0.2,""))))))))</f>
        <v>0.1</v>
      </c>
      <c r="F27" s="26">
        <v>1.5</v>
      </c>
      <c r="G27" s="27">
        <f>G25-1</f>
        <v>11.2</v>
      </c>
      <c r="H27" s="22">
        <v>0.9</v>
      </c>
      <c r="I27" s="16"/>
    </row>
    <row r="28" spans="1:9" ht="15.75" customHeight="1">
      <c r="A28" s="19" t="s">
        <v>69</v>
      </c>
      <c r="B28" s="42"/>
      <c r="C28" s="174"/>
      <c r="D28" s="175"/>
      <c r="E28" s="172" t="str">
        <f t="shared" ref="D28:E33" si="4">IF(D28="F",0.6,IF(D28="C",0.3,IF(D28="D",0.4,IF(D28="E",0.5,IF(D28="A",0.1,IF(D28="G",0.7,IF(D28="H",0.8,IF(D28="B",0.2,""))))))))</f>
        <v/>
      </c>
      <c r="G28" s="31"/>
      <c r="H28" s="22"/>
      <c r="I28" s="16"/>
    </row>
    <row r="29" spans="1:9" ht="15.75" customHeight="1">
      <c r="A29" s="23" t="s">
        <v>70</v>
      </c>
      <c r="B29" s="29">
        <v>31</v>
      </c>
      <c r="C29" s="25">
        <v>1</v>
      </c>
      <c r="D29" s="140" t="s">
        <v>47</v>
      </c>
      <c r="E29" s="172">
        <f t="shared" si="4"/>
        <v>0.1</v>
      </c>
      <c r="G29" s="31"/>
      <c r="H29" s="22">
        <v>0.7</v>
      </c>
      <c r="I29" s="16"/>
    </row>
    <row r="30" spans="1:9" ht="15.75" customHeight="1">
      <c r="A30" s="23" t="s">
        <v>71</v>
      </c>
      <c r="B30" s="29">
        <v>1</v>
      </c>
      <c r="C30" s="34">
        <v>2</v>
      </c>
      <c r="D30" s="107" t="s">
        <v>47</v>
      </c>
      <c r="E30" s="172">
        <f t="shared" si="4"/>
        <v>0.1</v>
      </c>
      <c r="G30" s="31"/>
      <c r="H30" s="22">
        <v>0.9</v>
      </c>
      <c r="I30" s="16"/>
    </row>
    <row r="31" spans="1:9" ht="15.75" customHeight="1">
      <c r="A31" s="174" t="s">
        <v>72</v>
      </c>
      <c r="B31" s="207"/>
      <c r="C31" s="174"/>
      <c r="D31" s="172" t="str">
        <f t="shared" si="4"/>
        <v/>
      </c>
      <c r="E31" s="172" t="str">
        <f t="shared" si="4"/>
        <v/>
      </c>
      <c r="G31" s="31"/>
      <c r="H31" s="22">
        <v>0.85</v>
      </c>
      <c r="I31" s="16"/>
    </row>
    <row r="32" spans="1:9" ht="15.75" customHeight="1">
      <c r="A32" s="91" t="s">
        <v>73</v>
      </c>
      <c r="B32" s="93">
        <v>25</v>
      </c>
      <c r="C32" s="174">
        <v>1</v>
      </c>
      <c r="D32" s="175" t="s">
        <v>47</v>
      </c>
      <c r="E32" s="172">
        <f t="shared" si="4"/>
        <v>0.1</v>
      </c>
      <c r="F32" s="33" t="s">
        <v>56</v>
      </c>
      <c r="G32" s="31"/>
      <c r="H32" s="22"/>
      <c r="I32" s="16"/>
    </row>
    <row r="33" spans="1:9" ht="15.75" customHeight="1">
      <c r="A33" s="23" t="s">
        <v>74</v>
      </c>
      <c r="B33" s="29">
        <v>32</v>
      </c>
      <c r="C33" s="35">
        <v>4</v>
      </c>
      <c r="D33" s="140" t="s">
        <v>51</v>
      </c>
      <c r="E33" s="172">
        <f t="shared" si="4"/>
        <v>0.2</v>
      </c>
      <c r="F33" s="36"/>
      <c r="G33" s="31"/>
      <c r="H33" s="22">
        <v>0.6</v>
      </c>
      <c r="I33" s="16"/>
    </row>
    <row r="34" spans="1:9" ht="15.75" customHeight="1">
      <c r="B34" s="37"/>
      <c r="G34" s="31"/>
      <c r="H34" s="41"/>
      <c r="I34" s="16"/>
    </row>
    <row r="35" spans="1:9" ht="15.75" customHeight="1">
      <c r="A35" s="271" t="s">
        <v>75</v>
      </c>
      <c r="B35" s="272"/>
      <c r="C35" s="273" t="str">
        <f>A1</f>
        <v>YERIK</v>
      </c>
      <c r="D35" s="270"/>
      <c r="E35" s="31"/>
      <c r="G35" s="31"/>
      <c r="H35" s="276" t="s">
        <v>39</v>
      </c>
      <c r="I35" s="16"/>
    </row>
    <row r="36" spans="1:9" ht="15.75" customHeight="1">
      <c r="A36" s="114" t="s">
        <v>0</v>
      </c>
      <c r="B36" s="115" t="s">
        <v>40</v>
      </c>
      <c r="C36" s="116" t="s">
        <v>41</v>
      </c>
      <c r="D36" s="117" t="s">
        <v>42</v>
      </c>
      <c r="E36" s="14" t="s">
        <v>37</v>
      </c>
      <c r="F36" s="15" t="s">
        <v>76</v>
      </c>
      <c r="G36" s="21" t="s">
        <v>49</v>
      </c>
      <c r="H36" s="277"/>
      <c r="I36" s="16"/>
    </row>
    <row r="37" spans="1:9" ht="15.75" customHeight="1">
      <c r="A37" s="43" t="s">
        <v>77</v>
      </c>
      <c r="B37" s="29">
        <v>308</v>
      </c>
      <c r="C37" s="35">
        <v>3</v>
      </c>
      <c r="D37" s="44">
        <v>2.4</v>
      </c>
      <c r="E37" s="17"/>
      <c r="F37" s="18">
        <f>10+D37</f>
        <v>12.4</v>
      </c>
      <c r="G37" s="27">
        <f>F37-1</f>
        <v>11.4</v>
      </c>
      <c r="H37" s="22">
        <v>0.6</v>
      </c>
      <c r="I37" s="16"/>
    </row>
    <row r="38" spans="1:9" ht="15.75" customHeight="1">
      <c r="A38" s="108"/>
      <c r="B38" s="218"/>
      <c r="G38" s="31"/>
      <c r="H38" s="41"/>
      <c r="I38" s="16"/>
    </row>
    <row r="39" spans="1:9" ht="15.75" customHeight="1">
      <c r="A39" s="271" t="s">
        <v>78</v>
      </c>
      <c r="B39" s="270"/>
      <c r="C39" s="278" t="str">
        <f>A1</f>
        <v>YERIK</v>
      </c>
      <c r="D39" s="272"/>
      <c r="E39" s="270"/>
      <c r="F39" s="14" t="s">
        <v>37</v>
      </c>
      <c r="G39" s="15" t="s">
        <v>38</v>
      </c>
      <c r="H39" s="274" t="s">
        <v>39</v>
      </c>
      <c r="I39" s="16"/>
    </row>
    <row r="40" spans="1:9" ht="31.5" customHeight="1">
      <c r="A40" s="109" t="s">
        <v>0</v>
      </c>
      <c r="B40" s="110" t="s">
        <v>40</v>
      </c>
      <c r="C40" s="216" t="s">
        <v>41</v>
      </c>
      <c r="D40" s="106" t="s">
        <v>42</v>
      </c>
      <c r="E40" s="129" t="s">
        <v>43</v>
      </c>
      <c r="F40" s="149">
        <f>SUM(E41:E48)+F44</f>
        <v>0.70000000000000007</v>
      </c>
      <c r="G40" s="18">
        <f>10+F40+F42+F48</f>
        <v>12.2</v>
      </c>
      <c r="H40" s="275"/>
      <c r="I40" s="16"/>
    </row>
    <row r="41" spans="1:9" ht="15.75" customHeight="1">
      <c r="A41" s="162" t="s">
        <v>79</v>
      </c>
      <c r="B41" s="163">
        <v>73</v>
      </c>
      <c r="C41" s="217">
        <v>3</v>
      </c>
      <c r="D41" s="140" t="s">
        <v>47</v>
      </c>
      <c r="E41" s="172">
        <f t="shared" ref="E41" si="5">IF(D41="F",0.6,IF(D41="C",0.3,IF(D41="D",0.4,IF(D41="E",0.5,IF(D41="A",0.1,IF(D41="G",0.7,IF(D41="H",0.8,IF(D41="B",0.2,""))))))))</f>
        <v>0.1</v>
      </c>
      <c r="F41" s="20" t="s">
        <v>48</v>
      </c>
      <c r="G41" s="156" t="s">
        <v>49</v>
      </c>
      <c r="H41" s="22"/>
      <c r="I41" s="16"/>
    </row>
    <row r="42" spans="1:9" ht="15.75" customHeight="1">
      <c r="A42" s="23" t="s">
        <v>80</v>
      </c>
      <c r="B42" s="24">
        <v>1</v>
      </c>
      <c r="C42" s="35">
        <v>2</v>
      </c>
      <c r="D42" s="173" t="s">
        <v>47</v>
      </c>
      <c r="E42" s="172">
        <f>IF(D42="F",0.6,IF(D42="C",0.3,IF(D42="D",0.4,IF(D42="E",0.5,IF(D42="A",0.1,IF(D42="G",0.7,IF(D42="H",0.8,IF(D42="B",0.2,""))))))))</f>
        <v>0.1</v>
      </c>
      <c r="F42" s="26">
        <v>1.5</v>
      </c>
      <c r="G42" s="157">
        <f>G40-1</f>
        <v>11.2</v>
      </c>
      <c r="H42" s="22"/>
      <c r="I42" s="16"/>
    </row>
    <row r="43" spans="1:9" ht="15.75" customHeight="1">
      <c r="A43" s="23" t="s">
        <v>81</v>
      </c>
      <c r="B43" s="24">
        <v>1</v>
      </c>
      <c r="C43" s="35">
        <v>1</v>
      </c>
      <c r="D43" s="173" t="s">
        <v>47</v>
      </c>
      <c r="E43" s="172">
        <f>IF(D43="F",0.6,IF(D43="C",0.3,IF(D43="D",0.4,IF(D43="E",0.5,IF(D43="A",0.1,IF(D43="G",0.7,IF(D43="H",0.8,IF(D43="B",0.2,""))))))))</f>
        <v>0.1</v>
      </c>
      <c r="F43" s="108"/>
      <c r="G43" s="31"/>
      <c r="H43" s="22">
        <v>0.75</v>
      </c>
      <c r="I43" s="16"/>
    </row>
    <row r="44" spans="1:9" ht="15.75" customHeight="1">
      <c r="A44" s="91" t="s">
        <v>82</v>
      </c>
      <c r="B44" s="92">
        <v>7</v>
      </c>
      <c r="C44" s="25">
        <v>2</v>
      </c>
      <c r="D44" s="140" t="s">
        <v>47</v>
      </c>
      <c r="E44" s="172">
        <f t="shared" ref="E44:E45" si="6">IF(D44="F",0.6,IF(D44="C",0.3,IF(D44="D",0.4,IF(D44="E",0.5,IF(D44="A",0.1,IF(D44="G",0.7,IF(D44="H",0.8,IF(D44="B",0.2,""))))))))</f>
        <v>0.1</v>
      </c>
      <c r="G44" s="31"/>
      <c r="H44" s="22">
        <v>0.75</v>
      </c>
      <c r="I44" s="16"/>
    </row>
    <row r="45" spans="1:9" ht="15.75" customHeight="1">
      <c r="A45" s="23" t="s">
        <v>83</v>
      </c>
      <c r="B45" s="24">
        <v>8</v>
      </c>
      <c r="C45" s="34">
        <v>2</v>
      </c>
      <c r="D45" s="107" t="s">
        <v>51</v>
      </c>
      <c r="E45" s="172">
        <f t="shared" si="6"/>
        <v>0.2</v>
      </c>
      <c r="G45" s="31"/>
      <c r="H45" s="22">
        <v>0.75</v>
      </c>
      <c r="I45" s="16"/>
    </row>
    <row r="46" spans="1:9" ht="15.75" customHeight="1">
      <c r="A46" s="23" t="s">
        <v>84</v>
      </c>
      <c r="B46" s="24">
        <v>43</v>
      </c>
      <c r="C46" s="35">
        <v>4</v>
      </c>
      <c r="D46" s="140" t="s">
        <v>47</v>
      </c>
      <c r="E46" s="172">
        <f>IF(D46="F",0.6,IF(D46="C",0.3,IF(D46="D",0.4,IF(D46="E",0.5,IF(D46="A",0.1,IF(D46="G",0.7,IF(D46="H",0.8,IF(D46="B",0.2,""))))))))</f>
        <v>0.1</v>
      </c>
      <c r="G46" s="31"/>
      <c r="H46" s="22">
        <v>0.85</v>
      </c>
      <c r="I46" s="16"/>
    </row>
    <row r="47" spans="1:9" ht="15.75" customHeight="1">
      <c r="F47" s="33" t="s">
        <v>56</v>
      </c>
      <c r="G47" s="31"/>
      <c r="H47" s="22">
        <v>0.9</v>
      </c>
      <c r="I47" s="16"/>
    </row>
    <row r="48" spans="1:9" ht="15.75" customHeight="1">
      <c r="F48" s="36"/>
      <c r="G48" s="31"/>
      <c r="H48" s="22">
        <v>0.55000000000000004</v>
      </c>
      <c r="I48" s="16"/>
    </row>
    <row r="49" spans="1:9" ht="15.75" customHeight="1">
      <c r="B49" s="37"/>
      <c r="G49" s="31"/>
      <c r="H49" s="41"/>
      <c r="I49" s="16"/>
    </row>
    <row r="50" spans="1:9" ht="15.75" customHeight="1">
      <c r="A50" s="271" t="s">
        <v>7</v>
      </c>
      <c r="B50" s="272"/>
      <c r="C50" s="273" t="str">
        <f>A1</f>
        <v>YERIK</v>
      </c>
      <c r="D50" s="272"/>
      <c r="E50" s="270"/>
      <c r="F50" s="14" t="s">
        <v>37</v>
      </c>
      <c r="G50" s="15" t="s">
        <v>38</v>
      </c>
      <c r="H50" s="274" t="s">
        <v>39</v>
      </c>
      <c r="I50" s="16"/>
    </row>
    <row r="51" spans="1:9" ht="30.75" customHeight="1">
      <c r="A51" s="109" t="s">
        <v>0</v>
      </c>
      <c r="B51" s="110" t="s">
        <v>40</v>
      </c>
      <c r="C51" s="111" t="s">
        <v>41</v>
      </c>
      <c r="D51" s="118" t="s">
        <v>42</v>
      </c>
      <c r="E51" s="113" t="s">
        <v>43</v>
      </c>
      <c r="F51" s="17">
        <f>SUM(E52:E59)</f>
        <v>0.6</v>
      </c>
      <c r="G51" s="18">
        <f>10+F51+F53+F59</f>
        <v>12.1</v>
      </c>
      <c r="H51" s="275"/>
      <c r="I51" s="16"/>
    </row>
    <row r="52" spans="1:9" ht="15.75" customHeight="1">
      <c r="A52" s="23" t="s">
        <v>85</v>
      </c>
      <c r="B52" s="24" t="s">
        <v>45</v>
      </c>
      <c r="C52" s="174" t="s">
        <v>46</v>
      </c>
      <c r="D52" s="140" t="s">
        <v>47</v>
      </c>
      <c r="E52" s="172">
        <f t="shared" ref="E52" si="7">IF(D52="F",0.6,IF(D52="C",0.3,IF(D52="D",0.4,IF(D52="E",0.5,IF(D52="A",0.1,IF(D52="G",0.7,IF(D52="H",0.8,IF(D52="B",0.2,""))))))))</f>
        <v>0.1</v>
      </c>
      <c r="F52" s="20" t="s">
        <v>48</v>
      </c>
      <c r="G52" s="21" t="s">
        <v>49</v>
      </c>
      <c r="H52" s="22">
        <v>0.85</v>
      </c>
      <c r="I52" s="16"/>
    </row>
    <row r="53" spans="1:9" ht="15.75" customHeight="1">
      <c r="A53" s="23" t="s">
        <v>59</v>
      </c>
      <c r="B53" s="24">
        <v>13</v>
      </c>
      <c r="C53" s="34">
        <v>1</v>
      </c>
      <c r="D53" s="107" t="s">
        <v>47</v>
      </c>
      <c r="E53" s="172">
        <f>IF(D53="F",0.6,IF(D53="C",0.3,IF(D53="D",0.4,IF(D53="E",0.5,IF(D53="A",0.1,IF(D53="G",0.7,IF(D53="H",0.8,IF(D53="B",0.2,""))))))))</f>
        <v>0.1</v>
      </c>
      <c r="F53" s="26">
        <v>1.5</v>
      </c>
      <c r="G53" s="27">
        <f>G51-1</f>
        <v>11.1</v>
      </c>
      <c r="H53" s="22">
        <v>0.85</v>
      </c>
      <c r="I53" s="16"/>
    </row>
    <row r="54" spans="1:9" ht="15.75" customHeight="1">
      <c r="A54" s="68" t="s">
        <v>86</v>
      </c>
      <c r="B54" s="161">
        <v>7</v>
      </c>
      <c r="C54" s="35">
        <v>1</v>
      </c>
      <c r="D54" s="173" t="s">
        <v>47</v>
      </c>
      <c r="E54" s="172">
        <f>IF(D54="F",0.6,IF(D54="C",0.3,IF(D54="D",0.4,IF(D54="E",0.5,IF(D54="A",0.1,IF(D54="G",0.7,IF(D54="H",0.8,IF(D54="B",0.2,""))))))))</f>
        <v>0.1</v>
      </c>
      <c r="F54" s="40"/>
      <c r="G54" s="31"/>
      <c r="H54" s="22">
        <v>0.7</v>
      </c>
      <c r="I54" s="16"/>
    </row>
    <row r="55" spans="1:9" ht="15.75" customHeight="1">
      <c r="A55" s="23" t="s">
        <v>87</v>
      </c>
      <c r="B55" s="24">
        <v>13</v>
      </c>
      <c r="C55" s="30">
        <v>1</v>
      </c>
      <c r="D55" s="140" t="s">
        <v>47</v>
      </c>
      <c r="E55" s="172">
        <f>IF(D55="F",0.6,IF(D55="C",0.3,IF(D55="D",0.4,IF(D55="E",0.5,IF(D55="A",0.1,IF(D55="G",0.7,IF(D55="H",0.8,IF(D55="B",0.2,""))))))))</f>
        <v>0.1</v>
      </c>
      <c r="F55" s="31"/>
      <c r="G55" s="31"/>
      <c r="H55" s="22">
        <v>0.8</v>
      </c>
      <c r="I55" s="16"/>
    </row>
    <row r="56" spans="1:9" ht="18.75" customHeight="1">
      <c r="A56" s="174" t="s">
        <v>88</v>
      </c>
      <c r="B56" s="176"/>
      <c r="C56" s="174"/>
      <c r="D56" s="175"/>
      <c r="E56" s="249"/>
      <c r="F56" s="31"/>
      <c r="G56" s="31"/>
      <c r="H56" s="22">
        <v>0.6</v>
      </c>
      <c r="I56" s="16"/>
    </row>
    <row r="57" spans="1:9" ht="15.75" customHeight="1">
      <c r="A57" s="23" t="s">
        <v>89</v>
      </c>
      <c r="B57" s="208">
        <v>1</v>
      </c>
      <c r="C57" s="35">
        <v>3</v>
      </c>
      <c r="D57" s="171" t="s">
        <v>47</v>
      </c>
      <c r="E57" s="172">
        <f>IF(D57="F",0.6,IF(D57="C",0.3,IF(D57="D",0.4,IF(D57="E",0.5,IF(D57="A",0.1,IF(D57="G",0.7,IF(D57="H",0.8,IF(D57="B",0.2,""))))))))</f>
        <v>0.1</v>
      </c>
      <c r="F57" s="40"/>
      <c r="G57" s="31"/>
      <c r="H57" s="119"/>
      <c r="I57" s="16"/>
    </row>
    <row r="58" spans="1:9" ht="15.75" customHeight="1">
      <c r="A58" s="174" t="s">
        <v>90</v>
      </c>
      <c r="B58" s="176"/>
      <c r="C58" s="174"/>
      <c r="D58" s="175"/>
      <c r="E58" s="249"/>
      <c r="F58" s="33" t="s">
        <v>56</v>
      </c>
      <c r="G58" s="31"/>
      <c r="H58" s="22">
        <v>0.8</v>
      </c>
      <c r="I58" s="16"/>
    </row>
    <row r="59" spans="1:9" ht="15.75" customHeight="1">
      <c r="A59" s="23" t="s">
        <v>91</v>
      </c>
      <c r="B59" s="24">
        <v>25</v>
      </c>
      <c r="C59" s="198">
        <v>4</v>
      </c>
      <c r="D59" s="140" t="s">
        <v>47</v>
      </c>
      <c r="E59" s="172">
        <f t="shared" ref="E59" si="8">IF(D59="F",0.6,IF(D59="C",0.3,IF(D59="D",0.4,IF(D59="E",0.5,IF(D59="A",0.1,IF(D59="G",0.7,IF(D59="H",0.8,IF(D59="B",0.2,""))))))))</f>
        <v>0.1</v>
      </c>
      <c r="F59" s="36"/>
      <c r="G59" s="31"/>
      <c r="H59" s="22">
        <v>0.1</v>
      </c>
      <c r="I59" s="16"/>
    </row>
    <row r="60" spans="1:9" ht="12.75" customHeight="1">
      <c r="A60" s="199"/>
      <c r="B60" s="200"/>
      <c r="C60" s="47"/>
      <c r="D60" s="47"/>
      <c r="E60" s="47"/>
      <c r="F60" s="47"/>
      <c r="G60" s="47"/>
      <c r="H60" s="49"/>
      <c r="I60" s="13"/>
    </row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A39:B39"/>
    <mergeCell ref="C39:E39"/>
    <mergeCell ref="H39:H40"/>
    <mergeCell ref="A50:B50"/>
    <mergeCell ref="C50:E50"/>
    <mergeCell ref="H50:H51"/>
    <mergeCell ref="A24:B24"/>
    <mergeCell ref="C24:E24"/>
    <mergeCell ref="H24:H25"/>
    <mergeCell ref="A35:B35"/>
    <mergeCell ref="C35:D35"/>
    <mergeCell ref="H35:H36"/>
    <mergeCell ref="A1:B1"/>
    <mergeCell ref="A2:B2"/>
    <mergeCell ref="C2:E2"/>
    <mergeCell ref="H2:H3"/>
    <mergeCell ref="A13:B13"/>
    <mergeCell ref="C13:E13"/>
    <mergeCell ref="H13:H14"/>
  </mergeCells>
  <conditionalFormatting sqref="A2 A13 A24 A35 A39 A50">
    <cfRule type="expression" dxfId="1549" priority="244">
      <formula>CM:CM&gt;=80</formula>
    </cfRule>
  </conditionalFormatting>
  <conditionalFormatting sqref="A15:A18 A21">
    <cfRule type="expression" dxfId="1548" priority="134">
      <formula>P:P&gt;=80</formula>
    </cfRule>
  </conditionalFormatting>
  <conditionalFormatting sqref="A28 A22">
    <cfRule type="expression" dxfId="1547" priority="122">
      <formula>H:H&gt;=80</formula>
    </cfRule>
  </conditionalFormatting>
  <conditionalFormatting sqref="C4:C7 C10:C11 C41:C46 C59 C22 C53:C55 C57">
    <cfRule type="cellIs" dxfId="1546" priority="141" operator="equal">
      <formula>4</formula>
    </cfRule>
    <cfRule type="cellIs" dxfId="1545" priority="142" operator="equal">
      <formula>3</formula>
    </cfRule>
    <cfRule type="cellIs" dxfId="1544" priority="143" operator="equal">
      <formula>2</formula>
    </cfRule>
    <cfRule type="cellIs" dxfId="1543" priority="144" operator="equal">
      <formula>1</formula>
    </cfRule>
  </conditionalFormatting>
  <conditionalFormatting sqref="C26:C33">
    <cfRule type="cellIs" dxfId="1542" priority="172" operator="equal">
      <formula>4</formula>
    </cfRule>
    <cfRule type="cellIs" dxfId="1541" priority="173" operator="equal">
      <formula>3</formula>
    </cfRule>
    <cfRule type="cellIs" dxfId="1540" priority="174" operator="equal">
      <formula>2</formula>
    </cfRule>
    <cfRule type="cellIs" dxfId="1539" priority="175" operator="equal">
      <formula>1</formula>
    </cfRule>
  </conditionalFormatting>
  <conditionalFormatting sqref="D10:D11 D4:D7 D41:D46 D22 D52:D59">
    <cfRule type="containsText" dxfId="1538" priority="233" operator="containsText" text="G">
      <formula>NOT(ISERROR(SEARCH("G",D4)))</formula>
    </cfRule>
    <cfRule type="containsText" dxfId="1537" priority="234" operator="containsText" text="F">
      <formula>NOT(ISERROR(SEARCH("F",D4)))</formula>
    </cfRule>
    <cfRule type="containsText" dxfId="1536" priority="235" operator="containsText" text="E">
      <formula>NOT(ISERROR(SEARCH("E",D4)))</formula>
    </cfRule>
    <cfRule type="containsText" dxfId="1535" priority="236" operator="containsText" text="D">
      <formula>NOT(ISERROR(SEARCH("D",D4)))</formula>
    </cfRule>
    <cfRule type="containsText" dxfId="1534" priority="237" operator="containsText" text="C">
      <formula>NOT(ISERROR(SEARCH("C",D4)))</formula>
    </cfRule>
    <cfRule type="containsText" dxfId="1533" priority="238" operator="containsText" text="B">
      <formula>NOT(ISERROR(SEARCH("B",D4)))</formula>
    </cfRule>
    <cfRule type="containsText" dxfId="1532" priority="239" operator="containsText" text="A">
      <formula>NOT(ISERROR(SEARCH("A",D4)))</formula>
    </cfRule>
  </conditionalFormatting>
  <conditionalFormatting sqref="D26:D30 D32:D33">
    <cfRule type="containsText" dxfId="1531" priority="165" operator="containsText" text="G">
      <formula>NOT(ISERROR(SEARCH("G",D26)))</formula>
    </cfRule>
    <cfRule type="containsText" dxfId="1530" priority="166" operator="containsText" text="F">
      <formula>NOT(ISERROR(SEARCH("F",D26)))</formula>
    </cfRule>
    <cfRule type="containsText" dxfId="1529" priority="167" operator="containsText" text="E">
      <formula>NOT(ISERROR(SEARCH("E",D26)))</formula>
    </cfRule>
    <cfRule type="containsText" dxfId="1528" priority="168" operator="containsText" text="D">
      <formula>NOT(ISERROR(SEARCH("D",D26)))</formula>
    </cfRule>
    <cfRule type="containsText" dxfId="1527" priority="169" operator="containsText" text="C">
      <formula>NOT(ISERROR(SEARCH("C",D26)))</formula>
    </cfRule>
    <cfRule type="containsText" dxfId="1526" priority="170" operator="containsText" text="B">
      <formula>NOT(ISERROR(SEARCH("B",D26)))</formula>
    </cfRule>
    <cfRule type="containsText" dxfId="1525" priority="171" operator="containsText" text="A">
      <formula>NOT(ISERROR(SEARCH("A",D26)))</formula>
    </cfRule>
  </conditionalFormatting>
  <conditionalFormatting sqref="H1">
    <cfRule type="cellIs" dxfId="1524" priority="138" stopIfTrue="1" operator="between">
      <formula>0.81</formula>
      <formula>1</formula>
    </cfRule>
    <cfRule type="cellIs" dxfId="1523" priority="139" stopIfTrue="1" operator="between">
      <formula>0.7</formula>
      <formula>0.8</formula>
    </cfRule>
    <cfRule type="cellIs" dxfId="1522" priority="140" stopIfTrue="1" operator="between">
      <formula>0.01</formula>
      <formula>0.69</formula>
    </cfRule>
  </conditionalFormatting>
  <conditionalFormatting sqref="H1:H60">
    <cfRule type="cellIs" dxfId="1521" priority="135" operator="between">
      <formula>0.7</formula>
      <formula>0.8</formula>
    </cfRule>
    <cfRule type="cellIs" dxfId="1520" priority="136" operator="between">
      <formula>0.8</formula>
      <formula>1</formula>
    </cfRule>
    <cfRule type="cellIs" dxfId="1519" priority="137" operator="between">
      <formula>69%</formula>
      <formula>0.01</formula>
    </cfRule>
  </conditionalFormatting>
  <conditionalFormatting sqref="I1:I60">
    <cfRule type="cellIs" dxfId="1518" priority="248" stopIfTrue="1" operator="between">
      <formula>0.81</formula>
      <formula>1</formula>
    </cfRule>
    <cfRule type="cellIs" dxfId="1517" priority="249" stopIfTrue="1" operator="between">
      <formula>0.7</formula>
      <formula>0.8</formula>
    </cfRule>
    <cfRule type="cellIs" dxfId="1516" priority="250" stopIfTrue="1" operator="between">
      <formula>0.01</formula>
      <formula>0.69</formula>
    </cfRule>
  </conditionalFormatting>
  <conditionalFormatting sqref="C8">
    <cfRule type="cellIs" dxfId="1515" priority="85" operator="equal">
      <formula>4</formula>
    </cfRule>
    <cfRule type="cellIs" dxfId="1514" priority="86" operator="equal">
      <formula>3</formula>
    </cfRule>
    <cfRule type="cellIs" dxfId="1513" priority="87" operator="equal">
      <formula>2</formula>
    </cfRule>
    <cfRule type="cellIs" dxfId="1512" priority="88" operator="equal">
      <formula>1</formula>
    </cfRule>
  </conditionalFormatting>
  <conditionalFormatting sqref="D8">
    <cfRule type="containsText" dxfId="1511" priority="89" operator="containsText" text="G">
      <formula>NOT(ISERROR(SEARCH("G",D8)))</formula>
    </cfRule>
    <cfRule type="containsText" dxfId="1510" priority="90" operator="containsText" text="F">
      <formula>NOT(ISERROR(SEARCH("F",D8)))</formula>
    </cfRule>
    <cfRule type="containsText" dxfId="1509" priority="91" operator="containsText" text="E">
      <formula>NOT(ISERROR(SEARCH("E",D8)))</formula>
    </cfRule>
    <cfRule type="containsText" dxfId="1508" priority="92" operator="containsText" text="D">
      <formula>NOT(ISERROR(SEARCH("D",D8)))</formula>
    </cfRule>
    <cfRule type="containsText" dxfId="1507" priority="93" operator="containsText" text="C">
      <formula>NOT(ISERROR(SEARCH("C",D8)))</formula>
    </cfRule>
    <cfRule type="containsText" dxfId="1506" priority="94" operator="containsText" text="B">
      <formula>NOT(ISERROR(SEARCH("B",D8)))</formula>
    </cfRule>
    <cfRule type="containsText" dxfId="1505" priority="95" operator="containsText" text="A">
      <formula>NOT(ISERROR(SEARCH("A",D8)))</formula>
    </cfRule>
  </conditionalFormatting>
  <conditionalFormatting sqref="C16">
    <cfRule type="cellIs" dxfId="1504" priority="80" operator="equal">
      <formula>4</formula>
    </cfRule>
    <cfRule type="cellIs" dxfId="1503" priority="81" operator="equal">
      <formula>3</formula>
    </cfRule>
    <cfRule type="cellIs" dxfId="1502" priority="82" operator="equal">
      <formula>2</formula>
    </cfRule>
    <cfRule type="cellIs" dxfId="1501" priority="83" operator="equal">
      <formula>1</formula>
    </cfRule>
  </conditionalFormatting>
  <conditionalFormatting sqref="D16">
    <cfRule type="containsText" dxfId="1500" priority="73" operator="containsText" text="G">
      <formula>NOT(ISERROR(SEARCH("G",D16)))</formula>
    </cfRule>
    <cfRule type="containsText" dxfId="1499" priority="74" operator="containsText" text="F">
      <formula>NOT(ISERROR(SEARCH("F",D16)))</formula>
    </cfRule>
    <cfRule type="containsText" dxfId="1498" priority="75" operator="containsText" text="E">
      <formula>NOT(ISERROR(SEARCH("E",D16)))</formula>
    </cfRule>
    <cfRule type="containsText" dxfId="1497" priority="76" operator="containsText" text="D">
      <formula>NOT(ISERROR(SEARCH("D",D16)))</formula>
    </cfRule>
    <cfRule type="containsText" dxfId="1496" priority="77" operator="containsText" text="C">
      <formula>NOT(ISERROR(SEARCH("C",D16)))</formula>
    </cfRule>
    <cfRule type="containsText" dxfId="1495" priority="78" operator="containsText" text="B">
      <formula>NOT(ISERROR(SEARCH("B",D16)))</formula>
    </cfRule>
    <cfRule type="containsText" dxfId="1494" priority="79" operator="containsText" text="A">
      <formula>NOT(ISERROR(SEARCH("A",D16)))</formula>
    </cfRule>
  </conditionalFormatting>
  <conditionalFormatting sqref="C15">
    <cfRule type="cellIs" dxfId="1493" priority="68" operator="equal">
      <formula>4</formula>
    </cfRule>
    <cfRule type="cellIs" dxfId="1492" priority="69" operator="equal">
      <formula>3</formula>
    </cfRule>
    <cfRule type="cellIs" dxfId="1491" priority="70" operator="equal">
      <formula>2</formula>
    </cfRule>
    <cfRule type="cellIs" dxfId="1490" priority="71" operator="equal">
      <formula>1</formula>
    </cfRule>
  </conditionalFormatting>
  <conditionalFormatting sqref="D15">
    <cfRule type="containsText" dxfId="1489" priority="61" operator="containsText" text="G">
      <formula>NOT(ISERROR(SEARCH("G",D15)))</formula>
    </cfRule>
    <cfRule type="containsText" dxfId="1488" priority="62" operator="containsText" text="F">
      <formula>NOT(ISERROR(SEARCH("F",D15)))</formula>
    </cfRule>
    <cfRule type="containsText" dxfId="1487" priority="63" operator="containsText" text="E">
      <formula>NOT(ISERROR(SEARCH("E",D15)))</formula>
    </cfRule>
    <cfRule type="containsText" dxfId="1486" priority="64" operator="containsText" text="D">
      <formula>NOT(ISERROR(SEARCH("D",D15)))</formula>
    </cfRule>
    <cfRule type="containsText" dxfId="1485" priority="65" operator="containsText" text="C">
      <formula>NOT(ISERROR(SEARCH("C",D15)))</formula>
    </cfRule>
    <cfRule type="containsText" dxfId="1484" priority="66" operator="containsText" text="B">
      <formula>NOT(ISERROR(SEARCH("B",D15)))</formula>
    </cfRule>
    <cfRule type="containsText" dxfId="1483" priority="67" operator="containsText" text="A">
      <formula>NOT(ISERROR(SEARCH("A",D15)))</formula>
    </cfRule>
  </conditionalFormatting>
  <conditionalFormatting sqref="C18:C19">
    <cfRule type="cellIs" dxfId="1482" priority="56" operator="equal">
      <formula>4</formula>
    </cfRule>
    <cfRule type="cellIs" dxfId="1481" priority="57" operator="equal">
      <formula>3</formula>
    </cfRule>
    <cfRule type="cellIs" dxfId="1480" priority="58" operator="equal">
      <formula>2</formula>
    </cfRule>
    <cfRule type="cellIs" dxfId="1479" priority="59" operator="equal">
      <formula>1</formula>
    </cfRule>
  </conditionalFormatting>
  <conditionalFormatting sqref="D17:D19">
    <cfRule type="containsText" dxfId="1478" priority="49" operator="containsText" text="G">
      <formula>NOT(ISERROR(SEARCH("G",D17)))</formula>
    </cfRule>
    <cfRule type="containsText" dxfId="1477" priority="50" operator="containsText" text="F">
      <formula>NOT(ISERROR(SEARCH("F",D17)))</formula>
    </cfRule>
    <cfRule type="containsText" dxfId="1476" priority="51" operator="containsText" text="E">
      <formula>NOT(ISERROR(SEARCH("E",D17)))</formula>
    </cfRule>
    <cfRule type="containsText" dxfId="1475" priority="52" operator="containsText" text="D">
      <formula>NOT(ISERROR(SEARCH("D",D17)))</formula>
    </cfRule>
    <cfRule type="containsText" dxfId="1474" priority="53" operator="containsText" text="C">
      <formula>NOT(ISERROR(SEARCH("C",D17)))</formula>
    </cfRule>
    <cfRule type="containsText" dxfId="1473" priority="54" operator="containsText" text="B">
      <formula>NOT(ISERROR(SEARCH("B",D17)))</formula>
    </cfRule>
    <cfRule type="containsText" dxfId="1472" priority="55" operator="containsText" text="A">
      <formula>NOT(ISERROR(SEARCH("A",D17)))</formula>
    </cfRule>
  </conditionalFormatting>
  <conditionalFormatting sqref="C17">
    <cfRule type="cellIs" dxfId="1471" priority="45" operator="equal">
      <formula>4</formula>
    </cfRule>
    <cfRule type="cellIs" dxfId="1470" priority="46" operator="equal">
      <formula>3</formula>
    </cfRule>
    <cfRule type="cellIs" dxfId="1469" priority="47" operator="equal">
      <formula>2</formula>
    </cfRule>
    <cfRule type="cellIs" dxfId="1468" priority="48" operator="equal">
      <formula>1</formula>
    </cfRule>
  </conditionalFormatting>
  <conditionalFormatting sqref="C52">
    <cfRule type="cellIs" dxfId="1467" priority="37" operator="equal">
      <formula>4</formula>
    </cfRule>
    <cfRule type="cellIs" dxfId="1466" priority="38" operator="equal">
      <formula>3</formula>
    </cfRule>
    <cfRule type="cellIs" dxfId="1465" priority="39" operator="equal">
      <formula>2</formula>
    </cfRule>
    <cfRule type="cellIs" dxfId="1464" priority="40" operator="equal">
      <formula>1</formula>
    </cfRule>
  </conditionalFormatting>
  <conditionalFormatting sqref="C37">
    <cfRule type="cellIs" dxfId="1463" priority="33" operator="equal">
      <formula>4</formula>
    </cfRule>
    <cfRule type="cellIs" dxfId="1462" priority="34" operator="equal">
      <formula>3</formula>
    </cfRule>
    <cfRule type="cellIs" dxfId="1461" priority="35" operator="equal">
      <formula>2</formula>
    </cfRule>
    <cfRule type="cellIs" dxfId="1460" priority="36" operator="equal">
      <formula>1</formula>
    </cfRule>
  </conditionalFormatting>
  <conditionalFormatting sqref="A20">
    <cfRule type="expression" dxfId="1459" priority="32">
      <formula>G:G&gt;=80</formula>
    </cfRule>
  </conditionalFormatting>
  <conditionalFormatting sqref="C20">
    <cfRule type="cellIs" dxfId="1458" priority="28" operator="equal">
      <formula>4</formula>
    </cfRule>
    <cfRule type="cellIs" dxfId="1457" priority="29" operator="equal">
      <formula>3</formula>
    </cfRule>
    <cfRule type="cellIs" dxfId="1456" priority="30" operator="equal">
      <formula>2</formula>
    </cfRule>
    <cfRule type="cellIs" dxfId="1455" priority="31" operator="equal">
      <formula>1</formula>
    </cfRule>
  </conditionalFormatting>
  <conditionalFormatting sqref="D20">
    <cfRule type="containsText" dxfId="1454" priority="21" operator="containsText" text="G">
      <formula>NOT(ISERROR(SEARCH("G",D20)))</formula>
    </cfRule>
    <cfRule type="containsText" dxfId="1453" priority="22" operator="containsText" text="F">
      <formula>NOT(ISERROR(SEARCH("F",D20)))</formula>
    </cfRule>
    <cfRule type="containsText" dxfId="1452" priority="23" operator="containsText" text="E">
      <formula>NOT(ISERROR(SEARCH("E",D20)))</formula>
    </cfRule>
    <cfRule type="containsText" dxfId="1451" priority="24" operator="containsText" text="D">
      <formula>NOT(ISERROR(SEARCH("D",D20)))</formula>
    </cfRule>
    <cfRule type="containsText" dxfId="1450" priority="25" operator="containsText" text="C">
      <formula>NOT(ISERROR(SEARCH("C",D20)))</formula>
    </cfRule>
    <cfRule type="containsText" dxfId="1449" priority="26" operator="containsText" text="B">
      <formula>NOT(ISERROR(SEARCH("B",D20)))</formula>
    </cfRule>
    <cfRule type="containsText" dxfId="1448" priority="27" operator="containsText" text="A">
      <formula>NOT(ISERROR(SEARCH("A",D20)))</formula>
    </cfRule>
  </conditionalFormatting>
  <conditionalFormatting sqref="C21">
    <cfRule type="cellIs" dxfId="1447" priority="16" operator="equal">
      <formula>4</formula>
    </cfRule>
    <cfRule type="cellIs" dxfId="1446" priority="17" operator="equal">
      <formula>3</formula>
    </cfRule>
    <cfRule type="cellIs" dxfId="1445" priority="18" operator="equal">
      <formula>2</formula>
    </cfRule>
    <cfRule type="cellIs" dxfId="1444" priority="19" operator="equal">
      <formula>1</formula>
    </cfRule>
  </conditionalFormatting>
  <conditionalFormatting sqref="D21">
    <cfRule type="containsText" dxfId="1443" priority="9" operator="containsText" text="G">
      <formula>NOT(ISERROR(SEARCH("G",D21)))</formula>
    </cfRule>
    <cfRule type="containsText" dxfId="1442" priority="10" operator="containsText" text="F">
      <formula>NOT(ISERROR(SEARCH("F",D21)))</formula>
    </cfRule>
    <cfRule type="containsText" dxfId="1441" priority="11" operator="containsText" text="E">
      <formula>NOT(ISERROR(SEARCH("E",D21)))</formula>
    </cfRule>
    <cfRule type="containsText" dxfId="1440" priority="12" operator="containsText" text="D">
      <formula>NOT(ISERROR(SEARCH("D",D21)))</formula>
    </cfRule>
    <cfRule type="containsText" dxfId="1439" priority="13" operator="containsText" text="C">
      <formula>NOT(ISERROR(SEARCH("C",D21)))</formula>
    </cfRule>
    <cfRule type="containsText" dxfId="1438" priority="14" operator="containsText" text="B">
      <formula>NOT(ISERROR(SEARCH("B",D21)))</formula>
    </cfRule>
    <cfRule type="containsText" dxfId="1437" priority="15" operator="containsText" text="A">
      <formula>NOT(ISERROR(SEARCH("A",D21)))</formula>
    </cfRule>
  </conditionalFormatting>
  <conditionalFormatting sqref="C56">
    <cfRule type="cellIs" dxfId="1436" priority="5" operator="equal">
      <formula>4</formula>
    </cfRule>
    <cfRule type="cellIs" dxfId="1435" priority="6" operator="equal">
      <formula>3</formula>
    </cfRule>
    <cfRule type="cellIs" dxfId="1434" priority="7" operator="equal">
      <formula>2</formula>
    </cfRule>
    <cfRule type="cellIs" dxfId="1433" priority="8" operator="equal">
      <formula>1</formula>
    </cfRule>
  </conditionalFormatting>
  <conditionalFormatting sqref="C58">
    <cfRule type="cellIs" dxfId="1432" priority="1" operator="equal">
      <formula>4</formula>
    </cfRule>
    <cfRule type="cellIs" dxfId="1431" priority="2" operator="equal">
      <formula>3</formula>
    </cfRule>
    <cfRule type="cellIs" dxfId="1430" priority="3" operator="equal">
      <formula>2</formula>
    </cfRule>
    <cfRule type="cellIs" dxfId="1429" priority="4" operator="equal">
      <formula>1</formula>
    </cfRule>
  </conditionalFormatting>
  <printOptions horizontalCentered="1" verticalCentered="1"/>
  <pageMargins left="0.25" right="0.25" top="0.75" bottom="0.75" header="0.3" footer="0.3"/>
  <pageSetup fitToWidth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00"/>
  <sheetViews>
    <sheetView workbookViewId="0">
      <selection activeCell="B32" sqref="B32"/>
    </sheetView>
  </sheetViews>
  <sheetFormatPr defaultColWidth="14.42578125" defaultRowHeight="15" customHeight="1"/>
  <cols>
    <col min="1" max="1" width="22.7109375" bestFit="1" customWidth="1"/>
    <col min="2" max="2" width="11.7109375" customWidth="1"/>
    <col min="3" max="3" width="9.140625" customWidth="1"/>
    <col min="4" max="4" width="8.5703125" customWidth="1"/>
    <col min="5" max="5" width="9.42578125" customWidth="1"/>
    <col min="6" max="6" width="10.140625" customWidth="1"/>
    <col min="7" max="7" width="12.85546875" customWidth="1"/>
    <col min="8" max="8" width="10.5703125" hidden="1" customWidth="1"/>
    <col min="9" max="9" width="11.42578125" customWidth="1"/>
  </cols>
  <sheetData>
    <row r="1" spans="1:9" ht="35.25">
      <c r="A1" s="269" t="s">
        <v>92</v>
      </c>
      <c r="B1" s="270"/>
      <c r="C1" s="8" t="s">
        <v>34</v>
      </c>
      <c r="D1" s="9" t="s">
        <v>35</v>
      </c>
      <c r="E1" s="10">
        <f>G3+G14+G25+F37+G40+G51</f>
        <v>73.8</v>
      </c>
      <c r="F1" s="11" t="s">
        <v>36</v>
      </c>
      <c r="G1" s="12">
        <f>G5+G16+G27+G37+G42+G53</f>
        <v>67.8</v>
      </c>
      <c r="H1" s="183">
        <f>(H4+H5+H6+H7+H8+H9+H10+H11+H16+H17+H18+H19+H20+H21+H22+H15+H27+H28+H29+H30+H31+H32+H33+H26+H41+H37+H44+H45+H46+H47+H48+H52+H42+H43+H55+H56+H57+H58+H59+H53+H54)/39</f>
        <v>0.76410256410256439</v>
      </c>
      <c r="I1" s="13"/>
    </row>
    <row r="2" spans="1:9" ht="20.25">
      <c r="A2" s="271" t="s">
        <v>2</v>
      </c>
      <c r="B2" s="272"/>
      <c r="C2" s="273" t="str">
        <f>A1</f>
        <v>FER</v>
      </c>
      <c r="D2" s="272"/>
      <c r="E2" s="270"/>
      <c r="F2" s="14" t="s">
        <v>37</v>
      </c>
      <c r="G2" s="15" t="s">
        <v>38</v>
      </c>
      <c r="H2" s="274" t="s">
        <v>39</v>
      </c>
      <c r="I2" s="16"/>
    </row>
    <row r="3" spans="1:9" ht="26.25">
      <c r="A3" s="109" t="s">
        <v>0</v>
      </c>
      <c r="B3" s="110" t="s">
        <v>40</v>
      </c>
      <c r="C3" s="111" t="s">
        <v>41</v>
      </c>
      <c r="D3" s="112" t="s">
        <v>42</v>
      </c>
      <c r="E3" s="113" t="s">
        <v>43</v>
      </c>
      <c r="F3" s="17">
        <f>SUM(E4:E12)</f>
        <v>0.89999999999999991</v>
      </c>
      <c r="G3" s="18">
        <f>10+F3+F5+F11</f>
        <v>12.4</v>
      </c>
      <c r="H3" s="275"/>
      <c r="I3" s="16"/>
    </row>
    <row r="4" spans="1:9" ht="15.75">
      <c r="A4" s="91" t="s">
        <v>44</v>
      </c>
      <c r="B4" s="29" t="s">
        <v>45</v>
      </c>
      <c r="C4" s="174" t="s">
        <v>46</v>
      </c>
      <c r="D4" s="173" t="s">
        <v>47</v>
      </c>
      <c r="E4" s="172">
        <f>IF(D4="F",0.6,IF(D4="C",0.3,IF(D4="D",0.4,IF(D4="E",0.5,IF(D4="A",0.1,IF(D4="G",0.7,IF(D4="H",0.8,IF(D4="B",0.2,""))))))))</f>
        <v>0.1</v>
      </c>
      <c r="F4" s="20" t="s">
        <v>48</v>
      </c>
      <c r="G4" s="21" t="s">
        <v>49</v>
      </c>
      <c r="H4" s="22">
        <v>0.95</v>
      </c>
      <c r="I4" s="16"/>
    </row>
    <row r="5" spans="1:9" ht="15.75">
      <c r="A5" s="23" t="s">
        <v>50</v>
      </c>
      <c r="B5" s="24">
        <v>9</v>
      </c>
      <c r="C5" s="34">
        <v>4</v>
      </c>
      <c r="D5" s="107" t="s">
        <v>51</v>
      </c>
      <c r="E5" s="172">
        <f>IF(D5="F",0.6,IF(D5="C",0.3,IF(D5="D",0.4,IF(D5="E",0.5,IF(D5="A",0.1,IF(D5="G",0.7,IF(D5="H",0.8,IF(D5="B",0.2,""))))))))</f>
        <v>0.2</v>
      </c>
      <c r="F5" s="26">
        <v>1.5</v>
      </c>
      <c r="G5" s="27">
        <f>G3-1</f>
        <v>11.4</v>
      </c>
      <c r="H5" s="22">
        <v>0.5</v>
      </c>
      <c r="I5" s="16"/>
    </row>
    <row r="6" spans="1:9" ht="15.75">
      <c r="A6" s="23" t="s">
        <v>93</v>
      </c>
      <c r="B6" s="24">
        <v>14</v>
      </c>
      <c r="C6" s="30">
        <v>2</v>
      </c>
      <c r="D6" s="140" t="s">
        <v>51</v>
      </c>
      <c r="E6" s="172">
        <f>IF(D6="F",0.6,IF(D6="C",0.3,IF(D6="D",0.4,IF(D6="E",0.5,IF(D6="A",0.1,IF(D6="G",0.7,IF(D6="H",0.8,IF(D6="B",0.2,""))))))))</f>
        <v>0.2</v>
      </c>
      <c r="H6" s="22">
        <v>0.6</v>
      </c>
      <c r="I6" s="16"/>
    </row>
    <row r="7" spans="1:9">
      <c r="A7" s="244" t="s">
        <v>55</v>
      </c>
      <c r="B7" s="201"/>
      <c r="C7" s="201"/>
      <c r="D7" s="201"/>
      <c r="E7" s="201"/>
      <c r="F7" s="31"/>
      <c r="G7" s="31"/>
      <c r="H7" s="22">
        <v>0.2</v>
      </c>
      <c r="I7" s="16"/>
    </row>
    <row r="8" spans="1:9" ht="15.75">
      <c r="A8" s="23" t="s">
        <v>54</v>
      </c>
      <c r="B8" s="29">
        <v>13</v>
      </c>
      <c r="C8" s="35">
        <v>2</v>
      </c>
      <c r="D8" s="171" t="s">
        <v>47</v>
      </c>
      <c r="E8" s="172">
        <f>IF(D8="F",0.6,IF(D8="C",0.3,IF(D8="D",0.4,IF(D8="E",0.5,IF(D8="A",0.1,IF(D8="G",0.7,IF(D8="H",0.8,IF(D8="B",0.2,""))))))))</f>
        <v>0.1</v>
      </c>
      <c r="F8" s="31"/>
      <c r="G8" s="31"/>
      <c r="H8" s="22">
        <v>0.9</v>
      </c>
      <c r="I8" s="16"/>
    </row>
    <row r="9" spans="1:9" ht="15.75">
      <c r="A9" s="124" t="s">
        <v>52</v>
      </c>
      <c r="B9" s="24">
        <v>61</v>
      </c>
      <c r="C9" s="35">
        <v>1</v>
      </c>
      <c r="D9" s="173" t="s">
        <v>47</v>
      </c>
      <c r="E9" s="172">
        <f>IF(D9="F",0.6,IF(D9="C",0.3,IF(D9="D",0.4,IF(D9="E",0.5,IF(D9="A",0.1,IF(D9="G",0.7,IF(D9="H",0.8,IF(D9="B",0.2,""))))))))</f>
        <v>0.1</v>
      </c>
      <c r="F9" s="31"/>
      <c r="G9" s="31"/>
      <c r="H9" s="22">
        <v>0.9</v>
      </c>
      <c r="I9" s="16"/>
    </row>
    <row r="10" spans="1:9" ht="15.75">
      <c r="A10" s="32" t="s">
        <v>44</v>
      </c>
      <c r="B10" s="207"/>
      <c r="C10" s="174"/>
      <c r="D10" s="174"/>
      <c r="E10" s="172" t="str">
        <f t="shared" ref="E10:E11" si="0">IF(D10="F",0.6,IF(D10="C",0.3,IF(D10="D",0.4,IF(D10="E",0.5,IF(D10="A",0.1,IF(D10="G",0.7,IF(D10="H",0.8,IF(D10="B",0.2,""))))))))</f>
        <v/>
      </c>
      <c r="F10" s="33" t="s">
        <v>56</v>
      </c>
      <c r="G10" s="31"/>
      <c r="H10" s="22">
        <v>0.95</v>
      </c>
      <c r="I10" s="16"/>
    </row>
    <row r="11" spans="1:9">
      <c r="A11" s="23" t="s">
        <v>57</v>
      </c>
      <c r="B11" s="29">
        <v>2</v>
      </c>
      <c r="C11" s="35">
        <v>3</v>
      </c>
      <c r="D11" s="140" t="s">
        <v>51</v>
      </c>
      <c r="E11" s="172">
        <f t="shared" si="0"/>
        <v>0.2</v>
      </c>
      <c r="F11" s="36"/>
      <c r="G11" s="31"/>
      <c r="H11" s="22">
        <v>0.9</v>
      </c>
      <c r="I11" s="16"/>
    </row>
    <row r="12" spans="1:9">
      <c r="B12" s="37"/>
      <c r="D12" s="38"/>
      <c r="E12" s="39"/>
      <c r="G12" s="31"/>
      <c r="H12" s="22"/>
      <c r="I12" s="16"/>
    </row>
    <row r="13" spans="1:9" ht="20.25">
      <c r="A13" s="271" t="s">
        <v>58</v>
      </c>
      <c r="B13" s="272"/>
      <c r="C13" s="273" t="str">
        <f>A1</f>
        <v>FER</v>
      </c>
      <c r="D13" s="272"/>
      <c r="E13" s="270"/>
      <c r="F13" s="14" t="s">
        <v>37</v>
      </c>
      <c r="G13" s="15" t="s">
        <v>38</v>
      </c>
      <c r="H13" s="274" t="s">
        <v>39</v>
      </c>
      <c r="I13" s="16"/>
    </row>
    <row r="14" spans="1:9" ht="26.25">
      <c r="A14" s="109" t="s">
        <v>0</v>
      </c>
      <c r="B14" s="110" t="s">
        <v>40</v>
      </c>
      <c r="C14" s="111" t="s">
        <v>41</v>
      </c>
      <c r="D14" s="112" t="s">
        <v>42</v>
      </c>
      <c r="E14" s="113" t="s">
        <v>43</v>
      </c>
      <c r="F14" s="17">
        <f>SUM(E15:E23)+F18</f>
        <v>0.9</v>
      </c>
      <c r="G14" s="18">
        <f>10+F14+F16+G23</f>
        <v>12.4</v>
      </c>
      <c r="H14" s="275"/>
      <c r="I14" s="16"/>
    </row>
    <row r="15" spans="1:9">
      <c r="A15" s="23" t="s">
        <v>62</v>
      </c>
      <c r="B15" s="29">
        <v>1</v>
      </c>
      <c r="C15" s="35">
        <v>1</v>
      </c>
      <c r="D15" s="171" t="s">
        <v>47</v>
      </c>
      <c r="E15" s="172">
        <f>IF(D15="F",0.6,IF(D15="C",0.3,IF(D15="D",0.4,IF(D15="E",0.5,IF(D15="A",0.1,IF(D15="G",0.7,IF(D15="H",0.8,IF(D15="B",0.2,""))))))))</f>
        <v>0.1</v>
      </c>
      <c r="F15" s="20" t="s">
        <v>48</v>
      </c>
      <c r="G15" s="21" t="s">
        <v>49</v>
      </c>
      <c r="H15" s="22">
        <v>0.85</v>
      </c>
      <c r="I15" s="16"/>
    </row>
    <row r="16" spans="1:9" ht="15.75">
      <c r="A16" s="174" t="s">
        <v>63</v>
      </c>
      <c r="B16" s="207"/>
      <c r="C16" s="174"/>
      <c r="D16" s="175"/>
      <c r="E16" s="249" t="str">
        <f>IF(D16="F",0.6,IF(D16="C",0.3,IF(D16="D",0.4,IF(D16="E",0.5,IF(D16="A",0.1,IF(D16="G",0.7,IF(D16="H",0.8,IF(D16="B",0.2,""))))))))</f>
        <v/>
      </c>
      <c r="F16" s="26">
        <v>1.5</v>
      </c>
      <c r="G16" s="27">
        <f>G14-1</f>
        <v>11.4</v>
      </c>
      <c r="H16" s="22">
        <v>0.7</v>
      </c>
      <c r="I16" s="16"/>
    </row>
    <row r="17" spans="1:9">
      <c r="A17" s="23" t="s">
        <v>94</v>
      </c>
      <c r="B17" s="29">
        <v>74</v>
      </c>
      <c r="C17" s="30">
        <v>2</v>
      </c>
      <c r="D17" s="140" t="s">
        <v>51</v>
      </c>
      <c r="E17" s="172">
        <f t="shared" ref="E16:E22" si="1">IF(D17="F",0.6,IF(D17="C",0.3,IF(D17="D",0.4,IF(D17="E",0.5,IF(D17="A",0.1,IF(D17="G",0.7,IF(D17="H",0.8,IF(D17="B",0.2,""))))))))</f>
        <v>0.2</v>
      </c>
      <c r="G17" s="31"/>
      <c r="H17" s="22">
        <v>0.75</v>
      </c>
      <c r="I17" s="16"/>
    </row>
    <row r="18" spans="1:9">
      <c r="A18" s="23" t="s">
        <v>64</v>
      </c>
      <c r="B18" s="29">
        <v>8</v>
      </c>
      <c r="C18" s="25">
        <v>3</v>
      </c>
      <c r="D18" s="140" t="s">
        <v>51</v>
      </c>
      <c r="E18" s="172">
        <f t="shared" si="1"/>
        <v>0.2</v>
      </c>
      <c r="G18" s="31"/>
      <c r="H18" s="22">
        <v>0.7</v>
      </c>
      <c r="I18" s="16"/>
    </row>
    <row r="19" spans="1:9">
      <c r="A19" s="174" t="s">
        <v>59</v>
      </c>
      <c r="B19" s="176"/>
      <c r="C19" s="174"/>
      <c r="D19" s="175"/>
      <c r="E19" s="172" t="str">
        <f t="shared" si="1"/>
        <v/>
      </c>
      <c r="F19" s="40"/>
      <c r="G19" s="31"/>
      <c r="H19" s="22">
        <v>0.7</v>
      </c>
      <c r="I19" s="16"/>
    </row>
    <row r="20" spans="1:9">
      <c r="A20" s="23" t="s">
        <v>95</v>
      </c>
      <c r="B20" s="24">
        <v>25</v>
      </c>
      <c r="C20" s="35">
        <v>2</v>
      </c>
      <c r="D20" s="173" t="s">
        <v>47</v>
      </c>
      <c r="E20" s="172">
        <f t="shared" si="1"/>
        <v>0.1</v>
      </c>
      <c r="G20" s="31"/>
      <c r="H20" s="22">
        <v>0.75</v>
      </c>
      <c r="I20" s="16"/>
    </row>
    <row r="21" spans="1:9" ht="15.75" customHeight="1">
      <c r="A21" s="23" t="s">
        <v>96</v>
      </c>
      <c r="B21" s="24">
        <v>25</v>
      </c>
      <c r="C21" s="35">
        <v>2</v>
      </c>
      <c r="D21" s="173" t="s">
        <v>51</v>
      </c>
      <c r="E21" s="172">
        <f t="shared" si="1"/>
        <v>0.2</v>
      </c>
      <c r="G21" s="31"/>
      <c r="H21" s="22">
        <v>0.75</v>
      </c>
      <c r="I21" s="16"/>
    </row>
    <row r="22" spans="1:9" ht="15.75" customHeight="1">
      <c r="A22" s="23" t="s">
        <v>65</v>
      </c>
      <c r="B22" s="24">
        <v>1</v>
      </c>
      <c r="C22" s="35">
        <v>4</v>
      </c>
      <c r="D22" s="140" t="s">
        <v>47</v>
      </c>
      <c r="E22" s="172">
        <f t="shared" si="1"/>
        <v>0.1</v>
      </c>
      <c r="G22" s="31"/>
      <c r="H22" s="22">
        <v>0.8</v>
      </c>
      <c r="I22" s="16"/>
    </row>
    <row r="23" spans="1:9" ht="15.75" customHeight="1">
      <c r="B23" s="37"/>
      <c r="G23" s="31"/>
      <c r="H23" s="41"/>
      <c r="I23" s="16"/>
    </row>
    <row r="24" spans="1:9" ht="15.75" customHeight="1">
      <c r="A24" s="271" t="s">
        <v>66</v>
      </c>
      <c r="B24" s="272"/>
      <c r="C24" s="273" t="str">
        <f>A1</f>
        <v>FER</v>
      </c>
      <c r="D24" s="272"/>
      <c r="E24" s="270"/>
      <c r="F24" s="14" t="s">
        <v>37</v>
      </c>
      <c r="G24" s="15" t="s">
        <v>38</v>
      </c>
      <c r="H24" s="274" t="s">
        <v>39</v>
      </c>
      <c r="I24" s="16"/>
    </row>
    <row r="25" spans="1:9" ht="33" customHeight="1">
      <c r="A25" s="109" t="s">
        <v>0</v>
      </c>
      <c r="B25" s="110" t="s">
        <v>40</v>
      </c>
      <c r="C25" s="111" t="s">
        <v>41</v>
      </c>
      <c r="D25" s="112" t="s">
        <v>42</v>
      </c>
      <c r="E25" s="113" t="s">
        <v>43</v>
      </c>
      <c r="F25" s="17">
        <f>SUM(E26:E33)+F29</f>
        <v>0.7</v>
      </c>
      <c r="G25" s="18">
        <f>10+F25+F27+F33</f>
        <v>12.2</v>
      </c>
      <c r="H25" s="275"/>
      <c r="I25" s="16"/>
    </row>
    <row r="26" spans="1:9" ht="15.75" customHeight="1">
      <c r="A26" s="23" t="s">
        <v>67</v>
      </c>
      <c r="B26" s="29" t="s">
        <v>45</v>
      </c>
      <c r="C26" s="174" t="s">
        <v>46</v>
      </c>
      <c r="D26" s="171" t="s">
        <v>47</v>
      </c>
      <c r="E26" s="172">
        <f>IF(D26="F",0.6,IF(D26="C",0.3,IF(D26="D",0.4,IF(D26="E",0.5,IF(D26="A",0.1,IF(D26="G",0.7,IF(D26="H",0.8,IF(D26="B",0.2,""))))))))</f>
        <v>0.1</v>
      </c>
      <c r="F26" s="20" t="s">
        <v>48</v>
      </c>
      <c r="G26" s="21" t="s">
        <v>49</v>
      </c>
      <c r="H26" s="22">
        <v>0.9</v>
      </c>
      <c r="I26" s="16"/>
    </row>
    <row r="27" spans="1:9" ht="15.75" customHeight="1">
      <c r="A27" s="23" t="s">
        <v>68</v>
      </c>
      <c r="B27" s="29" t="s">
        <v>45</v>
      </c>
      <c r="C27" s="174" t="s">
        <v>46</v>
      </c>
      <c r="D27" s="107" t="s">
        <v>47</v>
      </c>
      <c r="E27" s="172">
        <f>IF(D27="F",0.6,IF(D27="C",0.3,IF(D27="D",0.4,IF(D27="E",0.5,IF(D27="A",0.1,IF(D27="G",0.7,IF(D27="H",0.8,IF(D27="B",0.2,""))))))))</f>
        <v>0.1</v>
      </c>
      <c r="F27" s="26">
        <v>1.5</v>
      </c>
      <c r="G27" s="27">
        <f>G25-1</f>
        <v>11.2</v>
      </c>
      <c r="H27" s="22">
        <v>0.9</v>
      </c>
      <c r="I27" s="16"/>
    </row>
    <row r="28" spans="1:9" ht="15.75" customHeight="1">
      <c r="A28" s="19" t="s">
        <v>69</v>
      </c>
      <c r="B28" s="42"/>
      <c r="C28" s="174"/>
      <c r="D28" s="175"/>
      <c r="E28" s="172" t="str">
        <f t="shared" ref="E28:E33" si="2">IF(D28="F",0.6,IF(D28="C",0.3,IF(D28="D",0.4,IF(D28="E",0.5,IF(D28="A",0.1,IF(D28="G",0.7,IF(D28="H",0.8,IF(D28="B",0.2,""))))))))</f>
        <v/>
      </c>
      <c r="G28" s="31"/>
      <c r="H28" s="22"/>
      <c r="I28" s="16"/>
    </row>
    <row r="29" spans="1:9" ht="15.75" customHeight="1">
      <c r="A29" s="23" t="s">
        <v>70</v>
      </c>
      <c r="B29" s="29">
        <v>31</v>
      </c>
      <c r="C29" s="25">
        <v>1</v>
      </c>
      <c r="D29" s="140" t="s">
        <v>47</v>
      </c>
      <c r="E29" s="172">
        <f t="shared" si="2"/>
        <v>0.1</v>
      </c>
      <c r="G29" s="31"/>
      <c r="H29" s="22">
        <v>0.7</v>
      </c>
      <c r="I29" s="16"/>
    </row>
    <row r="30" spans="1:9" ht="15.75" customHeight="1">
      <c r="A30" s="23" t="s">
        <v>71</v>
      </c>
      <c r="B30" s="29">
        <v>1</v>
      </c>
      <c r="C30" s="34">
        <v>2</v>
      </c>
      <c r="D30" s="107" t="s">
        <v>47</v>
      </c>
      <c r="E30" s="172">
        <f t="shared" si="2"/>
        <v>0.1</v>
      </c>
      <c r="G30" s="31"/>
      <c r="H30" s="22">
        <v>0.9</v>
      </c>
      <c r="I30" s="16"/>
    </row>
    <row r="31" spans="1:9" ht="15.75" customHeight="1">
      <c r="A31" s="23" t="s">
        <v>72</v>
      </c>
      <c r="B31" s="29" t="s">
        <v>45</v>
      </c>
      <c r="C31" s="174" t="s">
        <v>46</v>
      </c>
      <c r="D31" s="171" t="s">
        <v>47</v>
      </c>
      <c r="E31" s="172">
        <f>IF(D31="F",0.6,IF(D31="C",0.3,IF(D31="D",0.4,IF(D31="E",0.5,IF(D31="A",0.1,IF(D31="G",0.7,IF(D31="H",0.8,IF(D31="B",0.2,""))))))))</f>
        <v>0.1</v>
      </c>
      <c r="G31" s="31"/>
      <c r="H31" s="22">
        <v>0.7</v>
      </c>
      <c r="I31" s="16"/>
    </row>
    <row r="32" spans="1:9" ht="15.75" customHeight="1">
      <c r="A32" s="19" t="s">
        <v>97</v>
      </c>
      <c r="B32" s="42"/>
      <c r="C32" s="174"/>
      <c r="D32" s="175"/>
      <c r="E32" s="172" t="str">
        <f t="shared" si="2"/>
        <v/>
      </c>
      <c r="F32" s="33" t="s">
        <v>56</v>
      </c>
      <c r="G32" s="31"/>
      <c r="H32" s="22"/>
      <c r="I32" s="16"/>
    </row>
    <row r="33" spans="1:9" ht="15.75" customHeight="1">
      <c r="A33" s="23" t="s">
        <v>74</v>
      </c>
      <c r="B33" s="29">
        <v>32</v>
      </c>
      <c r="C33" s="35">
        <v>4</v>
      </c>
      <c r="D33" s="140" t="s">
        <v>51</v>
      </c>
      <c r="E33" s="172">
        <f t="shared" si="2"/>
        <v>0.2</v>
      </c>
      <c r="F33" s="36"/>
      <c r="G33" s="31"/>
      <c r="H33" s="22">
        <v>0.8</v>
      </c>
      <c r="I33" s="16"/>
    </row>
    <row r="34" spans="1:9" ht="15.75" customHeight="1">
      <c r="B34" s="37"/>
      <c r="G34" s="31"/>
      <c r="H34" s="41"/>
      <c r="I34" s="16"/>
    </row>
    <row r="35" spans="1:9" ht="15.75" customHeight="1">
      <c r="A35" s="271" t="s">
        <v>75</v>
      </c>
      <c r="B35" s="272"/>
      <c r="C35" s="273" t="str">
        <f>A1</f>
        <v>FER</v>
      </c>
      <c r="D35" s="270"/>
      <c r="E35" s="31"/>
      <c r="G35" s="31"/>
      <c r="H35" s="276" t="s">
        <v>39</v>
      </c>
      <c r="I35" s="16"/>
    </row>
    <row r="36" spans="1:9" ht="15.75" customHeight="1">
      <c r="A36" s="114" t="s">
        <v>0</v>
      </c>
      <c r="B36" s="115" t="s">
        <v>40</v>
      </c>
      <c r="C36" s="116" t="s">
        <v>41</v>
      </c>
      <c r="D36" s="117" t="s">
        <v>42</v>
      </c>
      <c r="E36" s="14" t="s">
        <v>37</v>
      </c>
      <c r="F36" s="15" t="s">
        <v>76</v>
      </c>
      <c r="G36" s="21" t="s">
        <v>49</v>
      </c>
      <c r="H36" s="277"/>
      <c r="I36" s="16"/>
    </row>
    <row r="37" spans="1:9" ht="15.75" customHeight="1">
      <c r="A37" s="43" t="s">
        <v>98</v>
      </c>
      <c r="B37" s="121">
        <v>307</v>
      </c>
      <c r="C37" s="30">
        <v>3</v>
      </c>
      <c r="D37" s="65">
        <v>2.2000000000000002</v>
      </c>
      <c r="E37" s="17"/>
      <c r="F37" s="18">
        <f>10+D37</f>
        <v>12.2</v>
      </c>
      <c r="G37" s="27">
        <f>F37-1</f>
        <v>11.2</v>
      </c>
      <c r="H37" s="22">
        <v>0.6</v>
      </c>
      <c r="I37" s="16"/>
    </row>
    <row r="38" spans="1:9" ht="15.75" customHeight="1">
      <c r="B38" s="37"/>
      <c r="G38" s="31"/>
      <c r="H38" s="41"/>
      <c r="I38" s="16"/>
    </row>
    <row r="39" spans="1:9" ht="15.75" customHeight="1">
      <c r="A39" s="271" t="s">
        <v>78</v>
      </c>
      <c r="B39" s="272"/>
      <c r="C39" s="273" t="str">
        <f>A1</f>
        <v>FER</v>
      </c>
      <c r="D39" s="272"/>
      <c r="E39" s="270"/>
      <c r="F39" s="14" t="s">
        <v>37</v>
      </c>
      <c r="G39" s="15" t="s">
        <v>38</v>
      </c>
      <c r="H39" s="274" t="s">
        <v>39</v>
      </c>
      <c r="I39" s="16"/>
    </row>
    <row r="40" spans="1:9" ht="30.75" customHeight="1">
      <c r="A40" s="109" t="s">
        <v>0</v>
      </c>
      <c r="B40" s="110" t="s">
        <v>40</v>
      </c>
      <c r="C40" s="111" t="s">
        <v>41</v>
      </c>
      <c r="D40" s="112" t="s">
        <v>42</v>
      </c>
      <c r="E40" s="113" t="s">
        <v>43</v>
      </c>
      <c r="F40" s="17">
        <f>SUM(E41:E48)+F44</f>
        <v>0.89999999999999991</v>
      </c>
      <c r="G40" s="18">
        <f>10+F40+F42+F48</f>
        <v>12.4</v>
      </c>
      <c r="H40" s="275"/>
      <c r="I40" s="16"/>
    </row>
    <row r="41" spans="1:9" ht="15.75" customHeight="1">
      <c r="A41" s="91" t="s">
        <v>79</v>
      </c>
      <c r="B41" s="92">
        <v>73</v>
      </c>
      <c r="C41" s="35">
        <v>3</v>
      </c>
      <c r="D41" s="175" t="s">
        <v>47</v>
      </c>
      <c r="E41" s="195">
        <f t="shared" ref="E41:E42" si="3">IF(D41="F",0.6,IF(D41="C",0.3,IF(D41="D",0.4,IF(D41="E",0.5,IF(D41="A",0.1,IF(D41="G",0.7,IF(D41="H",0.8,IF(D41="B",0.2,""))))))))</f>
        <v>0.1</v>
      </c>
      <c r="F41" s="20" t="s">
        <v>48</v>
      </c>
      <c r="G41" s="21" t="s">
        <v>49</v>
      </c>
      <c r="H41" s="22">
        <v>0.8</v>
      </c>
      <c r="I41" s="16"/>
    </row>
    <row r="42" spans="1:9" ht="15.75" customHeight="1">
      <c r="A42" s="45" t="s">
        <v>82</v>
      </c>
      <c r="B42" s="46">
        <v>7</v>
      </c>
      <c r="C42" s="35">
        <v>2</v>
      </c>
      <c r="D42" s="175" t="s">
        <v>47</v>
      </c>
      <c r="E42" s="195">
        <f t="shared" si="3"/>
        <v>0.1</v>
      </c>
      <c r="F42" s="26">
        <v>1.5</v>
      </c>
      <c r="G42" s="27">
        <f>G40-1</f>
        <v>11.4</v>
      </c>
      <c r="H42" s="22">
        <v>0.7</v>
      </c>
      <c r="I42" s="16"/>
    </row>
    <row r="43" spans="1:9" ht="15.75" customHeight="1">
      <c r="A43" s="219" t="s">
        <v>83</v>
      </c>
      <c r="B43" s="220">
        <v>8</v>
      </c>
      <c r="C43" s="205">
        <v>2</v>
      </c>
      <c r="D43" s="206" t="s">
        <v>51</v>
      </c>
      <c r="E43" s="195">
        <f>IF(D43="F",0.6,IF(D43="C",0.3,IF(D43="D",0.4,IF(D43="E",0.5,IF(D43="A",0.1,IF(D43="G",0.7,IF(D43="H",0.8,IF(D43="B",0.2,""))))))))</f>
        <v>0.2</v>
      </c>
      <c r="G43" s="31"/>
      <c r="H43" s="22">
        <v>0.75</v>
      </c>
      <c r="I43" s="16"/>
    </row>
    <row r="44" spans="1:9" ht="15.75" customHeight="1">
      <c r="A44" s="23" t="s">
        <v>99</v>
      </c>
      <c r="B44" s="24">
        <v>15</v>
      </c>
      <c r="C44" s="35">
        <v>3</v>
      </c>
      <c r="D44" s="25" t="s">
        <v>100</v>
      </c>
      <c r="E44" s="172">
        <f>IF(D44="F",0.6,IF(D44="C",0.3,IF(D44="D",0.4,IF(D44="E",0.5,IF(D44="A",0.1,IF(D44="G",0.7,IF(D44="H",0.8,IF(D44="B",0.2,""))))))))</f>
        <v>0.3</v>
      </c>
      <c r="F44" s="108"/>
      <c r="G44" s="31"/>
      <c r="H44" s="22">
        <v>0.75</v>
      </c>
      <c r="I44" s="16"/>
    </row>
    <row r="45" spans="1:9" ht="15.75" customHeight="1">
      <c r="A45" s="174" t="s">
        <v>80</v>
      </c>
      <c r="B45" s="176"/>
      <c r="C45" s="174"/>
      <c r="D45" s="175"/>
      <c r="E45" s="201"/>
      <c r="F45" s="108"/>
      <c r="G45" s="31"/>
      <c r="H45" s="22">
        <v>0.8</v>
      </c>
    </row>
    <row r="46" spans="1:9" ht="15.75" customHeight="1">
      <c r="A46" s="23" t="s">
        <v>81</v>
      </c>
      <c r="B46" s="24">
        <v>1</v>
      </c>
      <c r="C46" s="34">
        <v>1</v>
      </c>
      <c r="D46" s="210" t="s">
        <v>47</v>
      </c>
      <c r="E46" s="203">
        <f>IF(D46="F",0.6,IF(D46="C",0.3,IF(D46="D",0.4,IF(D46="E",0.5,IF(D46="A",0.1,IF(D46="G",0.7,IF(D46="H",0.8,IF(D46="B",0.2,""))))))))</f>
        <v>0.1</v>
      </c>
      <c r="F46" s="108"/>
      <c r="G46" s="31"/>
      <c r="H46" s="22">
        <v>0.85</v>
      </c>
      <c r="I46" s="16"/>
    </row>
    <row r="47" spans="1:9" ht="15.75" customHeight="1">
      <c r="A47" s="174" t="s">
        <v>80</v>
      </c>
      <c r="B47" s="176"/>
      <c r="C47" s="174"/>
      <c r="D47" s="175"/>
      <c r="E47" s="201"/>
      <c r="F47" s="33" t="s">
        <v>56</v>
      </c>
      <c r="G47" s="31"/>
      <c r="H47" s="22">
        <v>0.8</v>
      </c>
      <c r="I47" s="16"/>
    </row>
    <row r="48" spans="1:9" ht="15.75" customHeight="1">
      <c r="A48" s="23" t="s">
        <v>84</v>
      </c>
      <c r="B48" s="24">
        <v>43</v>
      </c>
      <c r="C48" s="35">
        <v>4</v>
      </c>
      <c r="D48" s="140" t="s">
        <v>47</v>
      </c>
      <c r="E48" s="172">
        <f t="shared" ref="E48" si="4">IF(D48="F",0.6,IF(D48="C",0.3,IF(D48="D",0.4,IF(D48="E",0.5,IF(D48="A",0.1,IF(D48="G",0.7,IF(D48="H",0.8,IF(D48="B",0.2,""))))))))</f>
        <v>0.1</v>
      </c>
      <c r="F48" s="36"/>
      <c r="G48" s="31"/>
      <c r="H48" s="22">
        <v>0.6</v>
      </c>
      <c r="I48" s="16"/>
    </row>
    <row r="49" spans="1:9" ht="15.75" customHeight="1">
      <c r="B49" s="37"/>
      <c r="G49" s="31"/>
      <c r="H49" s="41"/>
      <c r="I49" s="16"/>
    </row>
    <row r="50" spans="1:9" ht="15.75" customHeight="1">
      <c r="A50" s="271" t="s">
        <v>7</v>
      </c>
      <c r="B50" s="272"/>
      <c r="C50" s="273" t="str">
        <f>A1</f>
        <v>FER</v>
      </c>
      <c r="D50" s="272"/>
      <c r="E50" s="270"/>
      <c r="F50" s="14" t="s">
        <v>37</v>
      </c>
      <c r="G50" s="15" t="s">
        <v>38</v>
      </c>
      <c r="H50" s="274" t="s">
        <v>39</v>
      </c>
      <c r="I50" s="16"/>
    </row>
    <row r="51" spans="1:9" ht="30" customHeight="1">
      <c r="A51" s="109" t="s">
        <v>0</v>
      </c>
      <c r="B51" s="110" t="s">
        <v>40</v>
      </c>
      <c r="C51" s="111" t="s">
        <v>41</v>
      </c>
      <c r="D51" s="118" t="s">
        <v>42</v>
      </c>
      <c r="E51" s="113" t="s">
        <v>43</v>
      </c>
      <c r="F51" s="17">
        <f>SUM(E52:E59)</f>
        <v>0.7</v>
      </c>
      <c r="G51" s="18">
        <f>10+F51+F53+F59</f>
        <v>12.2</v>
      </c>
      <c r="H51" s="275"/>
      <c r="I51" s="16"/>
    </row>
    <row r="52" spans="1:9" ht="15.75" customHeight="1">
      <c r="A52" s="23" t="s">
        <v>89</v>
      </c>
      <c r="B52" s="24">
        <v>1</v>
      </c>
      <c r="C52" s="35">
        <v>3</v>
      </c>
      <c r="D52" s="171" t="s">
        <v>47</v>
      </c>
      <c r="E52" s="172">
        <f>IF(D52="F",0.6,IF(D52="C",0.3,IF(D52="D",0.4,IF(D52="E",0.5,IF(D52="A",0.1,IF(D52="G",0.7,IF(D52="H",0.8,IF(D52="B",0.2,""))))))))</f>
        <v>0.1</v>
      </c>
      <c r="F52" s="20" t="s">
        <v>48</v>
      </c>
      <c r="G52" s="21" t="s">
        <v>49</v>
      </c>
      <c r="H52" s="22">
        <v>0.8</v>
      </c>
      <c r="I52" s="16"/>
    </row>
    <row r="53" spans="1:9" ht="15.75" customHeight="1">
      <c r="A53" s="45" t="s">
        <v>101</v>
      </c>
      <c r="B53" s="46">
        <v>25</v>
      </c>
      <c r="C53" s="25">
        <v>3</v>
      </c>
      <c r="D53" s="107" t="s">
        <v>47</v>
      </c>
      <c r="E53" s="172">
        <f t="shared" ref="E53:E57" si="5">IF(D53="F",0.6,IF(D53="C",0.3,IF(D53="D",0.4,IF(D53="E",0.5,IF(D53="A",0.1,IF(D53="G",0.7,IF(D53="H",0.8,IF(D53="B",0.2,""))))))))</f>
        <v>0.1</v>
      </c>
      <c r="F53" s="26">
        <v>1.5</v>
      </c>
      <c r="G53" s="27">
        <f>G51-1</f>
        <v>11.2</v>
      </c>
      <c r="H53" s="22">
        <v>0.8</v>
      </c>
      <c r="I53" s="16"/>
    </row>
    <row r="54" spans="1:9" ht="15.75" customHeight="1">
      <c r="A54" s="23" t="s">
        <v>87</v>
      </c>
      <c r="B54" s="24">
        <v>13</v>
      </c>
      <c r="C54" s="30">
        <v>1</v>
      </c>
      <c r="D54" s="140" t="s">
        <v>47</v>
      </c>
      <c r="E54" s="172">
        <f t="shared" si="5"/>
        <v>0.1</v>
      </c>
      <c r="F54" s="40"/>
      <c r="G54" s="31"/>
      <c r="H54" s="22">
        <v>0.8</v>
      </c>
      <c r="I54" s="16"/>
    </row>
    <row r="55" spans="1:9" ht="15.75" customHeight="1">
      <c r="A55" s="23" t="s">
        <v>102</v>
      </c>
      <c r="B55" s="24">
        <v>37</v>
      </c>
      <c r="C55" s="25">
        <v>1</v>
      </c>
      <c r="D55" s="140" t="s">
        <v>47</v>
      </c>
      <c r="E55" s="172">
        <f t="shared" si="5"/>
        <v>0.1</v>
      </c>
      <c r="F55" s="31"/>
      <c r="G55" s="31"/>
      <c r="H55" s="22">
        <v>0.8</v>
      </c>
      <c r="I55" s="16"/>
    </row>
    <row r="56" spans="1:9" ht="18.75" customHeight="1">
      <c r="A56" s="174" t="s">
        <v>59</v>
      </c>
      <c r="B56" s="176"/>
      <c r="C56" s="174"/>
      <c r="D56" s="175"/>
      <c r="E56" s="172"/>
      <c r="F56" s="31"/>
      <c r="G56" s="31"/>
      <c r="H56" s="22">
        <v>0.75</v>
      </c>
      <c r="I56" s="16"/>
    </row>
    <row r="57" spans="1:9" ht="15.75" customHeight="1">
      <c r="A57" s="68" t="s">
        <v>86</v>
      </c>
      <c r="B57" s="161">
        <v>7</v>
      </c>
      <c r="C57" s="205">
        <v>1</v>
      </c>
      <c r="D57" s="206" t="s">
        <v>47</v>
      </c>
      <c r="E57" s="172">
        <f t="shared" ref="E57:E58" si="6">IF(D57="F",0.6,IF(D57="C",0.3,IF(D57="D",0.4,IF(D57="E",0.5,IF(D57="A",0.1,IF(D57="G",0.7,IF(D57="H",0.8,IF(D57="B",0.2,""))))))))</f>
        <v>0.1</v>
      </c>
      <c r="F57" s="40"/>
      <c r="G57" s="31"/>
      <c r="H57" s="119">
        <v>0.8</v>
      </c>
      <c r="I57" s="16"/>
    </row>
    <row r="58" spans="1:9" ht="15.75" customHeight="1">
      <c r="A58" s="174" t="s">
        <v>87</v>
      </c>
      <c r="B58" s="176"/>
      <c r="C58" s="174"/>
      <c r="D58" s="175"/>
      <c r="E58" s="172"/>
      <c r="F58" s="33" t="s">
        <v>56</v>
      </c>
      <c r="G58" s="31"/>
      <c r="H58" s="22">
        <v>0.8</v>
      </c>
      <c r="I58" s="16"/>
    </row>
    <row r="59" spans="1:9" ht="15.75" customHeight="1">
      <c r="A59" s="23" t="s">
        <v>103</v>
      </c>
      <c r="B59" s="24">
        <v>32</v>
      </c>
      <c r="C59" s="35">
        <v>4</v>
      </c>
      <c r="D59" s="185" t="s">
        <v>51</v>
      </c>
      <c r="E59" s="204">
        <f t="shared" ref="E54:E59" si="7">IF(D59="F",0.6,IF(D59="C",0.3,IF(D59="D",0.4,IF(D59="E",0.5,IF(D59="A",0.1,IF(D59="G",0.7,IF(D59="H",0.8,IF(D59="B",0.2,""))))))))</f>
        <v>0.2</v>
      </c>
      <c r="F59" s="36"/>
      <c r="G59" s="31"/>
      <c r="H59" s="22">
        <v>0.8</v>
      </c>
      <c r="I59" s="16"/>
    </row>
    <row r="60" spans="1:9" ht="12.75" customHeight="1">
      <c r="A60" s="199"/>
      <c r="B60" s="200"/>
      <c r="C60" s="199"/>
      <c r="D60" s="199"/>
      <c r="E60" s="47"/>
      <c r="F60" s="47"/>
      <c r="G60" s="47"/>
      <c r="H60" s="49"/>
      <c r="I60" s="13"/>
    </row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A1:B1"/>
    <mergeCell ref="C2:E2"/>
    <mergeCell ref="A2:B2"/>
    <mergeCell ref="H2:H3"/>
    <mergeCell ref="A13:B13"/>
    <mergeCell ref="C13:E13"/>
    <mergeCell ref="H13:H14"/>
    <mergeCell ref="H39:H40"/>
    <mergeCell ref="H50:H51"/>
    <mergeCell ref="H35:H36"/>
    <mergeCell ref="H24:H25"/>
    <mergeCell ref="A24:B24"/>
    <mergeCell ref="A50:B50"/>
    <mergeCell ref="A39:B39"/>
    <mergeCell ref="C50:E50"/>
    <mergeCell ref="C35:D35"/>
    <mergeCell ref="A35:B35"/>
    <mergeCell ref="C39:E39"/>
    <mergeCell ref="C24:E24"/>
  </mergeCells>
  <conditionalFormatting sqref="A2 A13 A24 A35 A39 A50">
    <cfRule type="expression" dxfId="1428" priority="249">
      <formula>CM:CM&gt;=80</formula>
    </cfRule>
  </conditionalFormatting>
  <conditionalFormatting sqref="A28 A31:A32">
    <cfRule type="expression" dxfId="1427" priority="256">
      <formula>H:H&gt;=80</formula>
    </cfRule>
  </conditionalFormatting>
  <conditionalFormatting sqref="C5:C6 C9:C11 C41 C44 C46">
    <cfRule type="cellIs" dxfId="1426" priority="123" operator="equal">
      <formula>4</formula>
    </cfRule>
    <cfRule type="cellIs" dxfId="1425" priority="124" operator="equal">
      <formula>3</formula>
    </cfRule>
    <cfRule type="cellIs" dxfId="1424" priority="125" operator="equal">
      <formula>2</formula>
    </cfRule>
    <cfRule type="cellIs" dxfId="1423" priority="126" operator="equal">
      <formula>1</formula>
    </cfRule>
  </conditionalFormatting>
  <conditionalFormatting sqref="C15:C22">
    <cfRule type="cellIs" dxfId="1422" priority="233" operator="equal">
      <formula>4</formula>
    </cfRule>
    <cfRule type="cellIs" dxfId="1421" priority="234" operator="equal">
      <formula>3</formula>
    </cfRule>
    <cfRule type="cellIs" dxfId="1420" priority="235" operator="equal">
      <formula>2</formula>
    </cfRule>
    <cfRule type="cellIs" dxfId="1419" priority="236" operator="equal">
      <formula>1</formula>
    </cfRule>
  </conditionalFormatting>
  <conditionalFormatting sqref="C26:C33">
    <cfRule type="cellIs" dxfId="1418" priority="160" operator="equal">
      <formula>4</formula>
    </cfRule>
    <cfRule type="cellIs" dxfId="1417" priority="161" operator="equal">
      <formula>3</formula>
    </cfRule>
    <cfRule type="cellIs" dxfId="1416" priority="162" operator="equal">
      <formula>2</formula>
    </cfRule>
    <cfRule type="cellIs" dxfId="1415" priority="163" operator="equal">
      <formula>1</formula>
    </cfRule>
  </conditionalFormatting>
  <conditionalFormatting sqref="C37">
    <cfRule type="cellIs" dxfId="1414" priority="137" operator="equal">
      <formula>4</formula>
    </cfRule>
    <cfRule type="cellIs" dxfId="1413" priority="138" operator="equal">
      <formula>3</formula>
    </cfRule>
    <cfRule type="cellIs" dxfId="1412" priority="139" operator="equal">
      <formula>2</formula>
    </cfRule>
    <cfRule type="cellIs" dxfId="1411" priority="140" operator="equal">
      <formula>1</formula>
    </cfRule>
  </conditionalFormatting>
  <conditionalFormatting sqref="C4">
    <cfRule type="cellIs" dxfId="1410" priority="177" operator="equal">
      <formula>4</formula>
    </cfRule>
    <cfRule type="cellIs" dxfId="1409" priority="178" operator="equal">
      <formula>3</formula>
    </cfRule>
    <cfRule type="cellIs" dxfId="1408" priority="179" operator="equal">
      <formula>2</formula>
    </cfRule>
    <cfRule type="cellIs" dxfId="1407" priority="180" operator="equal">
      <formula>1</formula>
    </cfRule>
  </conditionalFormatting>
  <conditionalFormatting sqref="D9 D4:D6 D41:D42 D44:D47">
    <cfRule type="containsText" dxfId="1406" priority="116" operator="containsText" text="G">
      <formula>NOT(ISERROR(SEARCH("G",D4)))</formula>
    </cfRule>
    <cfRule type="containsText" dxfId="1405" priority="117" operator="containsText" text="F">
      <formula>NOT(ISERROR(SEARCH("F",D4)))</formula>
    </cfRule>
    <cfRule type="containsText" dxfId="1404" priority="118" operator="containsText" text="E">
      <formula>NOT(ISERROR(SEARCH("E",D4)))</formula>
    </cfRule>
    <cfRule type="containsText" dxfId="1403" priority="119" operator="containsText" text="D">
      <formula>NOT(ISERROR(SEARCH("D",D4)))</formula>
    </cfRule>
    <cfRule type="containsText" dxfId="1402" priority="120" operator="containsText" text="C">
      <formula>NOT(ISERROR(SEARCH("C",D4)))</formula>
    </cfRule>
    <cfRule type="containsText" dxfId="1401" priority="121" operator="containsText" text="B">
      <formula>NOT(ISERROR(SEARCH("B",D4)))</formula>
    </cfRule>
    <cfRule type="containsText" dxfId="1400" priority="122" operator="containsText" text="A">
      <formula>NOT(ISERROR(SEARCH("A",D4)))</formula>
    </cfRule>
  </conditionalFormatting>
  <conditionalFormatting sqref="D10">
    <cfRule type="cellIs" dxfId="1399" priority="133" operator="equal">
      <formula>4</formula>
    </cfRule>
    <cfRule type="cellIs" dxfId="1398" priority="134" operator="equal">
      <formula>3</formula>
    </cfRule>
    <cfRule type="cellIs" dxfId="1397" priority="135" operator="equal">
      <formula>2</formula>
    </cfRule>
    <cfRule type="cellIs" dxfId="1396" priority="136" operator="equal">
      <formula>1</formula>
    </cfRule>
  </conditionalFormatting>
  <conditionalFormatting sqref="D11">
    <cfRule type="containsText" dxfId="1395" priority="237" operator="containsText" text="G">
      <formula>NOT(ISERROR(SEARCH("G",D11)))</formula>
    </cfRule>
    <cfRule type="containsText" dxfId="1394" priority="238" operator="containsText" text="F">
      <formula>NOT(ISERROR(SEARCH("F",D11)))</formula>
    </cfRule>
    <cfRule type="containsText" dxfId="1393" priority="239" operator="containsText" text="E">
      <formula>NOT(ISERROR(SEARCH("E",D11)))</formula>
    </cfRule>
    <cfRule type="containsText" dxfId="1392" priority="240" operator="containsText" text="D">
      <formula>NOT(ISERROR(SEARCH("D",D11)))</formula>
    </cfRule>
    <cfRule type="containsText" dxfId="1391" priority="241" operator="containsText" text="C">
      <formula>NOT(ISERROR(SEARCH("C",D11)))</formula>
    </cfRule>
    <cfRule type="containsText" dxfId="1390" priority="242" operator="containsText" text="B">
      <formula>NOT(ISERROR(SEARCH("B",D11)))</formula>
    </cfRule>
    <cfRule type="containsText" dxfId="1389" priority="243" operator="containsText" text="A">
      <formula>NOT(ISERROR(SEARCH("A",D11)))</formula>
    </cfRule>
  </conditionalFormatting>
  <conditionalFormatting sqref="D15:D22">
    <cfRule type="containsText" dxfId="1388" priority="226" operator="containsText" text="G">
      <formula>NOT(ISERROR(SEARCH("G",D15)))</formula>
    </cfRule>
    <cfRule type="containsText" dxfId="1387" priority="227" operator="containsText" text="F">
      <formula>NOT(ISERROR(SEARCH("F",D15)))</formula>
    </cfRule>
    <cfRule type="containsText" dxfId="1386" priority="228" operator="containsText" text="E">
      <formula>NOT(ISERROR(SEARCH("E",D15)))</formula>
    </cfRule>
    <cfRule type="containsText" dxfId="1385" priority="229" operator="containsText" text="D">
      <formula>NOT(ISERROR(SEARCH("D",D15)))</formula>
    </cfRule>
    <cfRule type="containsText" dxfId="1384" priority="230" operator="containsText" text="C">
      <formula>NOT(ISERROR(SEARCH("C",D15)))</formula>
    </cfRule>
    <cfRule type="containsText" dxfId="1383" priority="231" operator="containsText" text="B">
      <formula>NOT(ISERROR(SEARCH("B",D15)))</formula>
    </cfRule>
    <cfRule type="containsText" dxfId="1382" priority="232" operator="containsText" text="A">
      <formula>NOT(ISERROR(SEARCH("A",D15)))</formula>
    </cfRule>
  </conditionalFormatting>
  <conditionalFormatting sqref="D26:D33">
    <cfRule type="containsText" dxfId="1381" priority="153" operator="containsText" text="G">
      <formula>NOT(ISERROR(SEARCH("G",D26)))</formula>
    </cfRule>
    <cfRule type="containsText" dxfId="1380" priority="154" operator="containsText" text="F">
      <formula>NOT(ISERROR(SEARCH("F",D26)))</formula>
    </cfRule>
    <cfRule type="containsText" dxfId="1379" priority="155" operator="containsText" text="E">
      <formula>NOT(ISERROR(SEARCH("E",D26)))</formula>
    </cfRule>
    <cfRule type="containsText" dxfId="1378" priority="156" operator="containsText" text="D">
      <formula>NOT(ISERROR(SEARCH("D",D26)))</formula>
    </cfRule>
    <cfRule type="containsText" dxfId="1377" priority="157" operator="containsText" text="C">
      <formula>NOT(ISERROR(SEARCH("C",D26)))</formula>
    </cfRule>
    <cfRule type="containsText" dxfId="1376" priority="158" operator="containsText" text="B">
      <formula>NOT(ISERROR(SEARCH("B",D26)))</formula>
    </cfRule>
    <cfRule type="containsText" dxfId="1375" priority="159" operator="containsText" text="A">
      <formula>NOT(ISERROR(SEARCH("A",D26)))</formula>
    </cfRule>
  </conditionalFormatting>
  <conditionalFormatting sqref="H1">
    <cfRule type="cellIs" dxfId="1374" priority="130" stopIfTrue="1" operator="between">
      <formula>0.81</formula>
      <formula>1</formula>
    </cfRule>
    <cfRule type="cellIs" dxfId="1373" priority="131" stopIfTrue="1" operator="between">
      <formula>0.7</formula>
      <formula>0.8</formula>
    </cfRule>
    <cfRule type="cellIs" dxfId="1372" priority="132" stopIfTrue="1" operator="between">
      <formula>0.01</formula>
      <formula>0.69</formula>
    </cfRule>
  </conditionalFormatting>
  <conditionalFormatting sqref="H1:H60">
    <cfRule type="cellIs" dxfId="1371" priority="127" operator="between">
      <formula>0.7</formula>
      <formula>0.8</formula>
    </cfRule>
    <cfRule type="cellIs" dxfId="1370" priority="128" operator="between">
      <formula>0.8</formula>
      <formula>1</formula>
    </cfRule>
    <cfRule type="cellIs" dxfId="1369" priority="129" operator="between">
      <formula>69%</formula>
      <formula>0.01</formula>
    </cfRule>
  </conditionalFormatting>
  <conditionalFormatting sqref="I1:I44 I46:I60">
    <cfRule type="cellIs" dxfId="1368" priority="253" stopIfTrue="1" operator="between">
      <formula>0.81</formula>
      <formula>1</formula>
    </cfRule>
    <cfRule type="cellIs" dxfId="1367" priority="254" stopIfTrue="1" operator="between">
      <formula>0.7</formula>
      <formula>0.8</formula>
    </cfRule>
    <cfRule type="cellIs" dxfId="1366" priority="255" stopIfTrue="1" operator="between">
      <formula>0.01</formula>
      <formula>0.69</formula>
    </cfRule>
  </conditionalFormatting>
  <conditionalFormatting sqref="C52:C55">
    <cfRule type="cellIs" dxfId="1365" priority="86" operator="equal">
      <formula>4</formula>
    </cfRule>
    <cfRule type="cellIs" dxfId="1364" priority="87" operator="equal">
      <formula>3</formula>
    </cfRule>
    <cfRule type="cellIs" dxfId="1363" priority="88" operator="equal">
      <formula>2</formula>
    </cfRule>
    <cfRule type="cellIs" dxfId="1362" priority="89" operator="equal">
      <formula>1</formula>
    </cfRule>
  </conditionalFormatting>
  <conditionalFormatting sqref="D52:D56">
    <cfRule type="containsText" dxfId="1361" priority="79" operator="containsText" text="G">
      <formula>NOT(ISERROR(SEARCH("G",D52)))</formula>
    </cfRule>
    <cfRule type="containsText" dxfId="1360" priority="80" operator="containsText" text="F">
      <formula>NOT(ISERROR(SEARCH("F",D52)))</formula>
    </cfRule>
    <cfRule type="containsText" dxfId="1359" priority="81" operator="containsText" text="E">
      <formula>NOT(ISERROR(SEARCH("E",D52)))</formula>
    </cfRule>
    <cfRule type="containsText" dxfId="1358" priority="82" operator="containsText" text="D">
      <formula>NOT(ISERROR(SEARCH("D",D52)))</formula>
    </cfRule>
    <cfRule type="containsText" dxfId="1357" priority="83" operator="containsText" text="C">
      <formula>NOT(ISERROR(SEARCH("C",D52)))</formula>
    </cfRule>
    <cfRule type="containsText" dxfId="1356" priority="84" operator="containsText" text="B">
      <formula>NOT(ISERROR(SEARCH("B",D52)))</formula>
    </cfRule>
    <cfRule type="containsText" dxfId="1355" priority="85" operator="containsText" text="A">
      <formula>NOT(ISERROR(SEARCH("A",D52)))</formula>
    </cfRule>
  </conditionalFormatting>
  <conditionalFormatting sqref="C57 C59">
    <cfRule type="cellIs" dxfId="1354" priority="75" operator="equal">
      <formula>4</formula>
    </cfRule>
    <cfRule type="cellIs" dxfId="1353" priority="76" operator="equal">
      <formula>3</formula>
    </cfRule>
    <cfRule type="cellIs" dxfId="1352" priority="77" operator="equal">
      <formula>2</formula>
    </cfRule>
    <cfRule type="cellIs" dxfId="1351" priority="78" operator="equal">
      <formula>1</formula>
    </cfRule>
  </conditionalFormatting>
  <conditionalFormatting sqref="D57 D59">
    <cfRule type="containsText" dxfId="1350" priority="68" operator="containsText" text="G">
      <formula>NOT(ISERROR(SEARCH("G",D57)))</formula>
    </cfRule>
    <cfRule type="containsText" dxfId="1349" priority="69" operator="containsText" text="F">
      <formula>NOT(ISERROR(SEARCH("F",D57)))</formula>
    </cfRule>
    <cfRule type="containsText" dxfId="1348" priority="70" operator="containsText" text="E">
      <formula>NOT(ISERROR(SEARCH("E",D57)))</formula>
    </cfRule>
    <cfRule type="containsText" dxfId="1347" priority="71" operator="containsText" text="D">
      <formula>NOT(ISERROR(SEARCH("D",D57)))</formula>
    </cfRule>
    <cfRule type="containsText" dxfId="1346" priority="72" operator="containsText" text="C">
      <formula>NOT(ISERROR(SEARCH("C",D57)))</formula>
    </cfRule>
    <cfRule type="containsText" dxfId="1345" priority="73" operator="containsText" text="B">
      <formula>NOT(ISERROR(SEARCH("B",D57)))</formula>
    </cfRule>
    <cfRule type="containsText" dxfId="1344" priority="74" operator="containsText" text="A">
      <formula>NOT(ISERROR(SEARCH("A",D57)))</formula>
    </cfRule>
  </conditionalFormatting>
  <conditionalFormatting sqref="C56">
    <cfRule type="cellIs" dxfId="1343" priority="64" operator="equal">
      <formula>4</formula>
    </cfRule>
    <cfRule type="cellIs" dxfId="1342" priority="65" operator="equal">
      <formula>3</formula>
    </cfRule>
    <cfRule type="cellIs" dxfId="1341" priority="66" operator="equal">
      <formula>2</formula>
    </cfRule>
    <cfRule type="cellIs" dxfId="1340" priority="67" operator="equal">
      <formula>1</formula>
    </cfRule>
  </conditionalFormatting>
  <conditionalFormatting sqref="C8">
    <cfRule type="cellIs" dxfId="1339" priority="46" operator="equal">
      <formula>4</formula>
    </cfRule>
    <cfRule type="cellIs" dxfId="1338" priority="47" operator="equal">
      <formula>3</formula>
    </cfRule>
    <cfRule type="cellIs" dxfId="1337" priority="48" operator="equal">
      <formula>2</formula>
    </cfRule>
    <cfRule type="cellIs" dxfId="1336" priority="49" operator="equal">
      <formula>1</formula>
    </cfRule>
  </conditionalFormatting>
  <conditionalFormatting sqref="D8">
    <cfRule type="containsText" dxfId="1335" priority="50" operator="containsText" text="G">
      <formula>NOT(ISERROR(SEARCH("G",D8)))</formula>
    </cfRule>
    <cfRule type="containsText" dxfId="1334" priority="51" operator="containsText" text="F">
      <formula>NOT(ISERROR(SEARCH("F",D8)))</formula>
    </cfRule>
    <cfRule type="containsText" dxfId="1333" priority="52" operator="containsText" text="E">
      <formula>NOT(ISERROR(SEARCH("E",D8)))</formula>
    </cfRule>
    <cfRule type="containsText" dxfId="1332" priority="53" operator="containsText" text="D">
      <formula>NOT(ISERROR(SEARCH("D",D8)))</formula>
    </cfRule>
    <cfRule type="containsText" dxfId="1331" priority="54" operator="containsText" text="C">
      <formula>NOT(ISERROR(SEARCH("C",D8)))</formula>
    </cfRule>
    <cfRule type="containsText" dxfId="1330" priority="55" operator="containsText" text="B">
      <formula>NOT(ISERROR(SEARCH("B",D8)))</formula>
    </cfRule>
    <cfRule type="containsText" dxfId="1329" priority="56" operator="containsText" text="A">
      <formula>NOT(ISERROR(SEARCH("A",D8)))</formula>
    </cfRule>
  </conditionalFormatting>
  <conditionalFormatting sqref="C42:C43">
    <cfRule type="cellIs" dxfId="1328" priority="42" operator="equal">
      <formula>4</formula>
    </cfRule>
    <cfRule type="cellIs" dxfId="1327" priority="43" operator="equal">
      <formula>3</formula>
    </cfRule>
    <cfRule type="cellIs" dxfId="1326" priority="44" operator="equal">
      <formula>2</formula>
    </cfRule>
    <cfRule type="cellIs" dxfId="1325" priority="45" operator="equal">
      <formula>1</formula>
    </cfRule>
  </conditionalFormatting>
  <conditionalFormatting sqref="D43">
    <cfRule type="containsText" dxfId="1324" priority="35" operator="containsText" text="G">
      <formula>NOT(ISERROR(SEARCH("G",D43)))</formula>
    </cfRule>
    <cfRule type="containsText" dxfId="1323" priority="36" operator="containsText" text="F">
      <formula>NOT(ISERROR(SEARCH("F",D43)))</formula>
    </cfRule>
    <cfRule type="containsText" dxfId="1322" priority="37" operator="containsText" text="E">
      <formula>NOT(ISERROR(SEARCH("E",D43)))</formula>
    </cfRule>
    <cfRule type="containsText" dxfId="1321" priority="38" operator="containsText" text="D">
      <formula>NOT(ISERROR(SEARCH("D",D43)))</formula>
    </cfRule>
    <cfRule type="containsText" dxfId="1320" priority="39" operator="containsText" text="C">
      <formula>NOT(ISERROR(SEARCH("C",D43)))</formula>
    </cfRule>
    <cfRule type="containsText" dxfId="1319" priority="40" operator="containsText" text="B">
      <formula>NOT(ISERROR(SEARCH("B",D43)))</formula>
    </cfRule>
    <cfRule type="containsText" dxfId="1318" priority="41" operator="containsText" text="A">
      <formula>NOT(ISERROR(SEARCH("A",D43)))</formula>
    </cfRule>
  </conditionalFormatting>
  <conditionalFormatting sqref="C48">
    <cfRule type="cellIs" dxfId="1317" priority="24" operator="equal">
      <formula>4</formula>
    </cfRule>
    <cfRule type="cellIs" dxfId="1316" priority="25" operator="equal">
      <formula>3</formula>
    </cfRule>
    <cfRule type="cellIs" dxfId="1315" priority="26" operator="equal">
      <formula>2</formula>
    </cfRule>
    <cfRule type="cellIs" dxfId="1314" priority="27" operator="equal">
      <formula>1</formula>
    </cfRule>
  </conditionalFormatting>
  <conditionalFormatting sqref="D48">
    <cfRule type="containsText" dxfId="1313" priority="28" operator="containsText" text="G">
      <formula>NOT(ISERROR(SEARCH("G",D48)))</formula>
    </cfRule>
    <cfRule type="containsText" dxfId="1312" priority="29" operator="containsText" text="F">
      <formula>NOT(ISERROR(SEARCH("F",D48)))</formula>
    </cfRule>
    <cfRule type="containsText" dxfId="1311" priority="30" operator="containsText" text="E">
      <formula>NOT(ISERROR(SEARCH("E",D48)))</formula>
    </cfRule>
    <cfRule type="containsText" dxfId="1310" priority="31" operator="containsText" text="D">
      <formula>NOT(ISERROR(SEARCH("D",D48)))</formula>
    </cfRule>
    <cfRule type="containsText" dxfId="1309" priority="32" operator="containsText" text="C">
      <formula>NOT(ISERROR(SEARCH("C",D48)))</formula>
    </cfRule>
    <cfRule type="containsText" dxfId="1308" priority="33" operator="containsText" text="B">
      <formula>NOT(ISERROR(SEARCH("B",D48)))</formula>
    </cfRule>
    <cfRule type="containsText" dxfId="1307" priority="34" operator="containsText" text="A">
      <formula>NOT(ISERROR(SEARCH("A",D48)))</formula>
    </cfRule>
  </conditionalFormatting>
  <conditionalFormatting sqref="C58">
    <cfRule type="cellIs" dxfId="1306" priority="20" operator="equal">
      <formula>4</formula>
    </cfRule>
    <cfRule type="cellIs" dxfId="1305" priority="21" operator="equal">
      <formula>3</formula>
    </cfRule>
    <cfRule type="cellIs" dxfId="1304" priority="22" operator="equal">
      <formula>2</formula>
    </cfRule>
    <cfRule type="cellIs" dxfId="1303" priority="23" operator="equal">
      <formula>1</formula>
    </cfRule>
  </conditionalFormatting>
  <conditionalFormatting sqref="D58">
    <cfRule type="containsText" dxfId="1302" priority="13" operator="containsText" text="G">
      <formula>NOT(ISERROR(SEARCH("G",D58)))</formula>
    </cfRule>
    <cfRule type="containsText" dxfId="1301" priority="14" operator="containsText" text="F">
      <formula>NOT(ISERROR(SEARCH("F",D58)))</formula>
    </cfRule>
    <cfRule type="containsText" dxfId="1300" priority="15" operator="containsText" text="E">
      <formula>NOT(ISERROR(SEARCH("E",D58)))</formula>
    </cfRule>
    <cfRule type="containsText" dxfId="1299" priority="16" operator="containsText" text="D">
      <formula>NOT(ISERROR(SEARCH("D",D58)))</formula>
    </cfRule>
    <cfRule type="containsText" dxfId="1298" priority="17" operator="containsText" text="C">
      <formula>NOT(ISERROR(SEARCH("C",D58)))</formula>
    </cfRule>
    <cfRule type="containsText" dxfId="1297" priority="18" operator="containsText" text="B">
      <formula>NOT(ISERROR(SEARCH("B",D58)))</formula>
    </cfRule>
    <cfRule type="containsText" dxfId="1296" priority="19" operator="containsText" text="A">
      <formula>NOT(ISERROR(SEARCH("A",D58)))</formula>
    </cfRule>
  </conditionalFormatting>
  <conditionalFormatting sqref="C45">
    <cfRule type="cellIs" dxfId="1295" priority="5" operator="equal">
      <formula>4</formula>
    </cfRule>
    <cfRule type="cellIs" dxfId="1294" priority="6" operator="equal">
      <formula>3</formula>
    </cfRule>
    <cfRule type="cellIs" dxfId="1293" priority="7" operator="equal">
      <formula>2</formula>
    </cfRule>
    <cfRule type="cellIs" dxfId="1292" priority="8" operator="equal">
      <formula>1</formula>
    </cfRule>
  </conditionalFormatting>
  <conditionalFormatting sqref="C47">
    <cfRule type="cellIs" dxfId="1291" priority="1" operator="equal">
      <formula>4</formula>
    </cfRule>
    <cfRule type="cellIs" dxfId="1290" priority="2" operator="equal">
      <formula>3</formula>
    </cfRule>
    <cfRule type="cellIs" dxfId="1289" priority="3" operator="equal">
      <formula>2</formula>
    </cfRule>
    <cfRule type="cellIs" dxfId="1288" priority="4" operator="equal">
      <formula>1</formula>
    </cfRule>
  </conditionalFormatting>
  <pageMargins left="1.25" right="0.25" top="0.25" bottom="0.2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00"/>
  <sheetViews>
    <sheetView topLeftCell="A39" workbookViewId="0">
      <selection activeCell="A47" sqref="A47:E47"/>
    </sheetView>
  </sheetViews>
  <sheetFormatPr defaultColWidth="14.42578125" defaultRowHeight="15" customHeight="1"/>
  <cols>
    <col min="1" max="1" width="24.140625" bestFit="1" customWidth="1"/>
    <col min="2" max="2" width="9.85546875" customWidth="1"/>
    <col min="3" max="3" width="9.7109375" customWidth="1"/>
    <col min="4" max="4" width="10.28515625" customWidth="1"/>
    <col min="5" max="5" width="9.28515625" customWidth="1"/>
    <col min="6" max="6" width="12.7109375" customWidth="1"/>
    <col min="7" max="7" width="12.85546875" customWidth="1"/>
    <col min="8" max="8" width="10.28515625" customWidth="1"/>
    <col min="9" max="9" width="9.85546875" hidden="1" customWidth="1"/>
  </cols>
  <sheetData>
    <row r="1" spans="1:17" ht="35.25">
      <c r="A1" s="269" t="s">
        <v>104</v>
      </c>
      <c r="B1" s="272"/>
      <c r="C1" s="270"/>
      <c r="D1" s="54" t="s">
        <v>105</v>
      </c>
      <c r="E1" s="9" t="s">
        <v>35</v>
      </c>
      <c r="F1" s="10">
        <f>H3+H14+H25+F37+H40+H51</f>
        <v>77.2</v>
      </c>
      <c r="G1" s="11" t="s">
        <v>36</v>
      </c>
      <c r="H1" s="12">
        <f>H5+H16+H27+G37+H42+H53</f>
        <v>68.400000000000006</v>
      </c>
      <c r="I1" s="183">
        <f>(I4+I5+I6+I7+I8+I9+I10+I11+I16+I17+I18+I19+I20+I21+I22+I15+I27+I28+I29+I30+I31+I32+I33+I26+I41+I37+I44+I45+I46+I47+I48+I52+I42+I43+I55+I56+I57+I58+I59+I53+I54)/41</f>
        <v>0.77073170731707319</v>
      </c>
    </row>
    <row r="2" spans="1:17" ht="20.25">
      <c r="A2" s="271" t="s">
        <v>2</v>
      </c>
      <c r="B2" s="272"/>
      <c r="C2" s="272"/>
      <c r="D2" s="272"/>
      <c r="E2" s="273" t="str">
        <f>A1</f>
        <v>VELA</v>
      </c>
      <c r="F2" s="270"/>
      <c r="G2" s="14" t="s">
        <v>37</v>
      </c>
      <c r="H2" s="55" t="s">
        <v>38</v>
      </c>
      <c r="I2" s="279" t="s">
        <v>39</v>
      </c>
    </row>
    <row r="3" spans="1:17" ht="30.75" customHeight="1">
      <c r="A3" s="109" t="s">
        <v>0</v>
      </c>
      <c r="B3" s="110" t="s">
        <v>40</v>
      </c>
      <c r="C3" s="111" t="s">
        <v>41</v>
      </c>
      <c r="D3" s="112" t="s">
        <v>42</v>
      </c>
      <c r="E3" s="113" t="s">
        <v>43</v>
      </c>
      <c r="F3" s="120" t="s">
        <v>106</v>
      </c>
      <c r="G3" s="17">
        <f>SUM(E5:E8)</f>
        <v>0.8</v>
      </c>
      <c r="H3" s="56">
        <f>10+G3+G5+G11</f>
        <v>12.8</v>
      </c>
      <c r="I3" s="275"/>
      <c r="K3" s="108"/>
      <c r="L3" s="108"/>
      <c r="M3" s="108"/>
      <c r="N3" s="108"/>
      <c r="O3" s="108"/>
      <c r="P3" s="108"/>
    </row>
    <row r="4" spans="1:17" ht="15.75">
      <c r="A4" s="91" t="s">
        <v>44</v>
      </c>
      <c r="B4" s="29" t="s">
        <v>45</v>
      </c>
      <c r="C4" s="174" t="s">
        <v>46</v>
      </c>
      <c r="D4" s="173" t="s">
        <v>47</v>
      </c>
      <c r="E4" s="172">
        <f>IF(D4="F",0.6,IF(D4="C",0.3,IF(D4="D",0.4,IF(D4="E",0.5,IF(D4="A",0.1,IF(D4="G",0.7,IF(D4="H",0.8,IF(D4="B",0.2,""))))))))</f>
        <v>0.1</v>
      </c>
      <c r="G4" s="20" t="s">
        <v>48</v>
      </c>
      <c r="H4" s="57" t="s">
        <v>49</v>
      </c>
      <c r="I4" s="58">
        <v>0.9</v>
      </c>
      <c r="J4" s="108"/>
      <c r="K4" s="230"/>
      <c r="L4" s="231"/>
      <c r="M4" s="230"/>
      <c r="N4" s="230"/>
      <c r="O4" s="232"/>
      <c r="P4" s="230"/>
      <c r="Q4" s="108"/>
    </row>
    <row r="5" spans="1:17" ht="15.75">
      <c r="A5" s="23" t="s">
        <v>107</v>
      </c>
      <c r="B5" s="24">
        <v>13</v>
      </c>
      <c r="C5" s="25">
        <v>3</v>
      </c>
      <c r="D5" s="107" t="s">
        <v>47</v>
      </c>
      <c r="E5" s="172">
        <f>IF(D5="F",0.6,IF(D5="C",0.3,IF(D5="D",0.4,IF(D5="E",0.5,IF(D5="A",0.1,IF(D5="G",0.7,IF(D5="H",0.8,IF(D5="B",0.2,""))))))))</f>
        <v>0.1</v>
      </c>
      <c r="F5" s="35" t="s">
        <v>108</v>
      </c>
      <c r="G5" s="26">
        <v>2</v>
      </c>
      <c r="H5" s="59">
        <f>H3-1.5</f>
        <v>11.3</v>
      </c>
      <c r="I5" s="58">
        <v>0.85</v>
      </c>
      <c r="K5" s="108"/>
      <c r="L5" s="108"/>
      <c r="M5" s="108"/>
      <c r="N5" s="108"/>
      <c r="O5" s="108"/>
      <c r="P5" s="108"/>
    </row>
    <row r="6" spans="1:17" ht="15.75">
      <c r="A6" s="23" t="s">
        <v>109</v>
      </c>
      <c r="B6" s="24">
        <v>9</v>
      </c>
      <c r="C6" s="35">
        <v>4</v>
      </c>
      <c r="D6" s="173" t="s">
        <v>100</v>
      </c>
      <c r="E6" s="172">
        <f>IF(D6="F",0.6,IF(D6="C",0.3,IF(D6="D",0.4,IF(D6="E",0.5,IF(D6="A",0.1,IF(D6="G",0.7,IF(D6="H",0.8,IF(D6="B",0.2,""))))))))</f>
        <v>0.3</v>
      </c>
      <c r="F6" s="25" t="s">
        <v>110</v>
      </c>
      <c r="G6" s="31"/>
      <c r="H6" s="60"/>
      <c r="I6" s="58">
        <v>0.65</v>
      </c>
    </row>
    <row r="7" spans="1:17" ht="15.75">
      <c r="A7" s="23" t="s">
        <v>111</v>
      </c>
      <c r="B7" s="24">
        <v>2</v>
      </c>
      <c r="C7" s="25">
        <v>3</v>
      </c>
      <c r="D7" s="140" t="s">
        <v>51</v>
      </c>
      <c r="E7" s="172">
        <f>IF(D7="F",0.6,IF(D7="C",0.3,IF(D7="D",0.4,IF(D7="E",0.5,IF(D7="A",0.1,IF(D7="G",0.7,IF(D7="H",0.8,IF(D7="B",0.2,""))))))))</f>
        <v>0.2</v>
      </c>
      <c r="F7" s="35" t="s">
        <v>108</v>
      </c>
      <c r="G7" s="31"/>
      <c r="H7" s="60"/>
      <c r="I7" s="58">
        <v>0.85</v>
      </c>
    </row>
    <row r="8" spans="1:17" ht="15.75">
      <c r="A8" s="23" t="s">
        <v>57</v>
      </c>
      <c r="B8" s="24">
        <v>2</v>
      </c>
      <c r="C8" s="35">
        <v>3</v>
      </c>
      <c r="D8" s="140" t="s">
        <v>51</v>
      </c>
      <c r="E8" s="172">
        <f>IF(D8="F",0.6,IF(D8="C",0.3,IF(D8="D",0.4,IF(D8="E",0.5,IF(D8="A",0.1,IF(D8="G",0.7,IF(D8="H",0.8,IF(D8="B",0.2,""))))))))</f>
        <v>0.2</v>
      </c>
      <c r="F8" s="35" t="s">
        <v>108</v>
      </c>
      <c r="H8" s="60"/>
      <c r="I8" s="58">
        <v>0.85</v>
      </c>
    </row>
    <row r="9" spans="1:17" ht="15.75">
      <c r="A9" s="23" t="s">
        <v>112</v>
      </c>
      <c r="B9" s="29">
        <v>13</v>
      </c>
      <c r="C9" s="35">
        <v>2</v>
      </c>
      <c r="D9" s="171" t="s">
        <v>47</v>
      </c>
      <c r="E9" s="172">
        <f>IF(D9="F",0.6,IF(D9="C",0.3,IF(D9="D",0.4,IF(D9="E",0.5,IF(D9="A",0.1,IF(D9="G",0.7,IF(D9="H",0.8,IF(D9="B",0.2,""))))))))</f>
        <v>0.1</v>
      </c>
      <c r="F9" s="30" t="s">
        <v>113</v>
      </c>
      <c r="G9" s="31"/>
      <c r="H9" s="60"/>
      <c r="I9" s="58">
        <v>0.75</v>
      </c>
    </row>
    <row r="10" spans="1:17" ht="15.75">
      <c r="A10" s="124" t="s">
        <v>52</v>
      </c>
      <c r="B10" s="24">
        <v>61</v>
      </c>
      <c r="C10" s="35">
        <v>1</v>
      </c>
      <c r="D10" s="173" t="s">
        <v>47</v>
      </c>
      <c r="E10" s="172">
        <f t="shared" ref="E10" si="0">IF(D10="F",0.6,IF(D10="C",0.3,IF(D10="D",0.4,IF(D10="E",0.5,IF(D10="A",0.1,IF(D10="G",0.7,IF(D10="H",0.8,IF(D10="B",0.2,""))))))))</f>
        <v>0.1</v>
      </c>
      <c r="F10" s="23" t="s">
        <v>114</v>
      </c>
      <c r="G10" s="61" t="s">
        <v>115</v>
      </c>
      <c r="H10" s="60"/>
      <c r="I10" s="58">
        <v>0.85</v>
      </c>
    </row>
    <row r="11" spans="1:17" ht="15.75">
      <c r="A11" s="23" t="s">
        <v>50</v>
      </c>
      <c r="B11" s="24">
        <v>9</v>
      </c>
      <c r="C11" s="34">
        <v>4</v>
      </c>
      <c r="D11" s="107" t="s">
        <v>51</v>
      </c>
      <c r="E11" s="172">
        <f>IF(D11="F",0.6,IF(D11="C",0.3,IF(D11="D",0.4,IF(D11="E",0.5,IF(D11="A",0.1,IF(D11="G",0.7,IF(D11="H",0.8,IF(D11="B",0.2,""))))))))</f>
        <v>0.2</v>
      </c>
      <c r="F11" s="25" t="s">
        <v>110</v>
      </c>
      <c r="G11" s="62"/>
      <c r="H11" s="60"/>
      <c r="I11" s="58">
        <v>0.9</v>
      </c>
    </row>
    <row r="12" spans="1:17">
      <c r="B12" s="37"/>
      <c r="F12" s="31"/>
      <c r="G12" s="31"/>
      <c r="H12" s="60"/>
      <c r="I12" s="58"/>
    </row>
    <row r="13" spans="1:17" ht="20.25">
      <c r="A13" s="271" t="s">
        <v>58</v>
      </c>
      <c r="B13" s="272"/>
      <c r="C13" s="272"/>
      <c r="D13" s="272"/>
      <c r="E13" s="273" t="str">
        <f>A1</f>
        <v>VELA</v>
      </c>
      <c r="F13" s="270"/>
      <c r="G13" s="14" t="s">
        <v>37</v>
      </c>
      <c r="H13" s="55" t="s">
        <v>38</v>
      </c>
      <c r="I13" s="279" t="s">
        <v>39</v>
      </c>
    </row>
    <row r="14" spans="1:17" ht="26.25">
      <c r="A14" s="109" t="s">
        <v>0</v>
      </c>
      <c r="B14" s="110" t="s">
        <v>40</v>
      </c>
      <c r="C14" s="111" t="s">
        <v>41</v>
      </c>
      <c r="D14" s="112" t="s">
        <v>42</v>
      </c>
      <c r="E14" s="113" t="s">
        <v>43</v>
      </c>
      <c r="F14" s="120" t="s">
        <v>106</v>
      </c>
      <c r="G14" s="17">
        <f>SUM(E15:E22)</f>
        <v>1.4000000000000001</v>
      </c>
      <c r="H14" s="56">
        <f>10+G14+G16+G22</f>
        <v>13</v>
      </c>
      <c r="I14" s="275"/>
    </row>
    <row r="15" spans="1:17" ht="15.75">
      <c r="A15" s="23" t="s">
        <v>59</v>
      </c>
      <c r="B15" s="29">
        <v>7</v>
      </c>
      <c r="C15" s="25">
        <v>2</v>
      </c>
      <c r="D15" s="107" t="s">
        <v>47</v>
      </c>
      <c r="E15" s="172">
        <f t="shared" ref="E15" si="1">IF(D15="F",0.6,IF(D15="C",0.3,IF(D15="D",0.4,IF(D15="E",0.5,IF(D15="A",0.1,IF(D15="G",0.7,IF(D15="H",0.8,IF(D15="B",0.2,""))))))))</f>
        <v>0.1</v>
      </c>
      <c r="F15" s="30" t="s">
        <v>113</v>
      </c>
      <c r="G15" s="20" t="s">
        <v>48</v>
      </c>
      <c r="H15" s="57" t="s">
        <v>49</v>
      </c>
      <c r="I15" s="58">
        <v>0.65</v>
      </c>
    </row>
    <row r="16" spans="1:17" ht="15.75">
      <c r="A16" s="23" t="s">
        <v>116</v>
      </c>
      <c r="B16" s="29">
        <v>32</v>
      </c>
      <c r="C16" s="25">
        <v>3</v>
      </c>
      <c r="D16" s="140" t="s">
        <v>51</v>
      </c>
      <c r="E16" s="172">
        <f>IF(D16="F",0.6,IF(D16="C",0.3,IF(D16="D",0.4,IF(D16="E",0.5,IF(D16="A",0.1,IF(D16="G",0.7,IF(D16="H",0.8,IF(D16="B",0.2,""))))))))</f>
        <v>0.2</v>
      </c>
      <c r="F16" s="35" t="s">
        <v>108</v>
      </c>
      <c r="G16" s="26">
        <v>1.6</v>
      </c>
      <c r="H16" s="59">
        <f>H14-1.5</f>
        <v>11.5</v>
      </c>
      <c r="I16" s="58">
        <v>0.85</v>
      </c>
    </row>
    <row r="17" spans="1:9" ht="15.75">
      <c r="A17" s="23" t="s">
        <v>117</v>
      </c>
      <c r="B17" s="29">
        <v>38</v>
      </c>
      <c r="C17" s="35">
        <v>3</v>
      </c>
      <c r="D17" s="173" t="s">
        <v>51</v>
      </c>
      <c r="E17" s="172">
        <f>IF(D17="F",0.6,IF(D17="C",0.3,IF(D17="D",0.4,IF(D17="E",0.5,IF(D17="A",0.1,IF(D17="G",0.7,IF(D17="H",0.8,IF(D17="B",0.2,""))))))))</f>
        <v>0.2</v>
      </c>
      <c r="F17" s="35" t="s">
        <v>108</v>
      </c>
      <c r="G17" s="31"/>
      <c r="H17" s="60"/>
      <c r="I17" s="58">
        <v>0.75</v>
      </c>
    </row>
    <row r="18" spans="1:9" ht="15.75">
      <c r="A18" s="23" t="s">
        <v>118</v>
      </c>
      <c r="B18" s="29">
        <v>34</v>
      </c>
      <c r="C18" s="35">
        <v>3</v>
      </c>
      <c r="D18" s="171" t="s">
        <v>119</v>
      </c>
      <c r="E18" s="172">
        <f>IF(D18="F",0.6,IF(D18="C",0.3,IF(D18="D",0.4,IF(D18="E",0.5,IF(D18="A",0.1,IF(D18="G",0.7,IF(D18="H",0.8,IF(D18="B",0.2,""))))))))</f>
        <v>0.4</v>
      </c>
      <c r="F18" s="35" t="s">
        <v>108</v>
      </c>
      <c r="G18" s="31"/>
      <c r="H18" s="60"/>
      <c r="I18" s="58">
        <v>0.75</v>
      </c>
    </row>
    <row r="19" spans="1:9" ht="15.75">
      <c r="A19" s="23" t="s">
        <v>120</v>
      </c>
      <c r="B19" s="29">
        <v>13</v>
      </c>
      <c r="C19" s="25">
        <v>2</v>
      </c>
      <c r="D19" s="107" t="s">
        <v>47</v>
      </c>
      <c r="E19" s="172">
        <f>IF(D19="F",0.6,IF(D19="C",0.3,IF(D19="D",0.4,IF(D19="E",0.5,IF(D19="A",0.1,IF(D19="G",0.7,IF(D19="H",0.8,IF(D19="B",0.2,""))))))))</f>
        <v>0.1</v>
      </c>
      <c r="F19" s="30" t="s">
        <v>113</v>
      </c>
      <c r="G19" s="31"/>
      <c r="H19" s="60"/>
      <c r="I19" s="58">
        <v>0.85</v>
      </c>
    </row>
    <row r="20" spans="1:9" ht="15.75">
      <c r="A20" s="23" t="s">
        <v>121</v>
      </c>
      <c r="B20" s="29">
        <v>26</v>
      </c>
      <c r="C20" s="30">
        <v>2</v>
      </c>
      <c r="D20" s="140" t="s">
        <v>51</v>
      </c>
      <c r="E20" s="172">
        <f>IF(D20="F",0.6,IF(D20="C",0.3,IF(D20="D",0.4,IF(D20="E",0.5,IF(D20="A",0.1,IF(D20="G",0.7,IF(D20="H",0.8,IF(D20="B",0.2,""))))))))</f>
        <v>0.2</v>
      </c>
      <c r="F20" s="30" t="s">
        <v>113</v>
      </c>
      <c r="G20" s="31"/>
      <c r="H20" s="60"/>
      <c r="I20" s="58">
        <v>0.7</v>
      </c>
    </row>
    <row r="21" spans="1:9" ht="15.75" customHeight="1">
      <c r="A21" s="23" t="s">
        <v>122</v>
      </c>
      <c r="B21" s="29" t="s">
        <v>45</v>
      </c>
      <c r="C21" s="35">
        <v>2</v>
      </c>
      <c r="D21" s="173" t="s">
        <v>47</v>
      </c>
      <c r="E21" s="172">
        <f t="shared" ref="E21:E22" si="2">IF(D21="F",0.6,IF(D21="C",0.3,IF(D21="D",0.4,IF(D21="E",0.5,IF(D21="A",0.1,IF(D21="G",0.7,IF(D21="H",0.8,IF(D21="B",0.2,""))))))))</f>
        <v>0.1</v>
      </c>
      <c r="F21" s="23" t="s">
        <v>114</v>
      </c>
      <c r="G21" s="61" t="s">
        <v>115</v>
      </c>
      <c r="H21" s="60"/>
      <c r="I21" s="58">
        <v>0.8</v>
      </c>
    </row>
    <row r="22" spans="1:9" ht="15.75" customHeight="1">
      <c r="A22" s="23" t="s">
        <v>65</v>
      </c>
      <c r="B22" s="29">
        <v>9</v>
      </c>
      <c r="C22" s="35">
        <v>4</v>
      </c>
      <c r="D22" s="173" t="s">
        <v>47</v>
      </c>
      <c r="E22" s="172">
        <f t="shared" ref="E22" si="3">IF(D22="F",0.6,IF(D22="C",0.3,IF(D22="D",0.4,IF(D22="E",0.5,IF(D22="A",0.1,IF(D22="G",0.7,IF(D22="H",0.8,IF(D22="B",0.2,""))))))))</f>
        <v>0.1</v>
      </c>
      <c r="F22" s="25" t="s">
        <v>110</v>
      </c>
      <c r="G22" s="62"/>
      <c r="H22" s="60"/>
      <c r="I22" s="58">
        <v>0.65</v>
      </c>
    </row>
    <row r="23" spans="1:9" ht="15.75" customHeight="1">
      <c r="A23" s="31"/>
      <c r="B23" s="63"/>
      <c r="C23" s="31"/>
      <c r="D23" s="31"/>
      <c r="E23" s="31"/>
      <c r="F23" s="31"/>
      <c r="G23" s="31"/>
      <c r="H23" s="60"/>
      <c r="I23" s="64"/>
    </row>
    <row r="24" spans="1:9" ht="15.75" customHeight="1">
      <c r="A24" s="271" t="s">
        <v>66</v>
      </c>
      <c r="B24" s="272"/>
      <c r="C24" s="272"/>
      <c r="D24" s="272"/>
      <c r="E24" s="273" t="str">
        <f>A1</f>
        <v>VELA</v>
      </c>
      <c r="F24" s="270"/>
      <c r="G24" s="14" t="s">
        <v>37</v>
      </c>
      <c r="H24" s="55" t="s">
        <v>38</v>
      </c>
      <c r="I24" s="279" t="s">
        <v>39</v>
      </c>
    </row>
    <row r="25" spans="1:9" ht="33" customHeight="1">
      <c r="A25" s="109" t="s">
        <v>0</v>
      </c>
      <c r="B25" s="110" t="s">
        <v>40</v>
      </c>
      <c r="C25" s="111" t="s">
        <v>41</v>
      </c>
      <c r="D25" s="112" t="s">
        <v>42</v>
      </c>
      <c r="E25" s="113" t="s">
        <v>43</v>
      </c>
      <c r="F25" s="120" t="s">
        <v>106</v>
      </c>
      <c r="G25" s="17">
        <f>SUM(E26:E33)</f>
        <v>1.4000000000000001</v>
      </c>
      <c r="H25" s="56">
        <f>10+G25+G27+G33</f>
        <v>13.1</v>
      </c>
      <c r="I25" s="275"/>
    </row>
    <row r="26" spans="1:9" ht="15.75" customHeight="1">
      <c r="A26" s="23" t="s">
        <v>67</v>
      </c>
      <c r="B26" s="29" t="s">
        <v>45</v>
      </c>
      <c r="C26" s="174" t="s">
        <v>46</v>
      </c>
      <c r="D26" s="171" t="s">
        <v>47</v>
      </c>
      <c r="E26" s="172">
        <f>IF(D26="F",0.6,IF(D26="C",0.3,IF(D26="D",0.4,IF(D26="E",0.5,IF(D26="A",0.1,IF(D26="G",0.7,IF(D26="H",0.8,IF(D26="B",0.2,""))))))))</f>
        <v>0.1</v>
      </c>
      <c r="F26" s="23" t="s">
        <v>45</v>
      </c>
      <c r="G26" s="20" t="s">
        <v>48</v>
      </c>
      <c r="H26" s="57" t="s">
        <v>49</v>
      </c>
      <c r="I26" s="58">
        <v>0.9</v>
      </c>
    </row>
    <row r="27" spans="1:9" ht="15.75" customHeight="1">
      <c r="A27" s="23" t="s">
        <v>68</v>
      </c>
      <c r="B27" s="29" t="s">
        <v>45</v>
      </c>
      <c r="C27" s="174" t="s">
        <v>46</v>
      </c>
      <c r="D27" s="107" t="s">
        <v>47</v>
      </c>
      <c r="E27" s="172">
        <f>IF(D27="F",0.6,IF(D27="C",0.3,IF(D27="D",0.4,IF(D27="E",0.5,IF(D27="A",0.1,IF(D27="G",0.7,IF(D27="H",0.8,IF(D27="B",0.2,""))))))))</f>
        <v>0.1</v>
      </c>
      <c r="F27" s="23" t="s">
        <v>45</v>
      </c>
      <c r="G27" s="26">
        <v>1.7</v>
      </c>
      <c r="H27" s="59">
        <f>H25-1.5</f>
        <v>11.6</v>
      </c>
      <c r="I27" s="58">
        <v>0.95</v>
      </c>
    </row>
    <row r="28" spans="1:9" ht="15.75" customHeight="1">
      <c r="A28" s="23" t="s">
        <v>70</v>
      </c>
      <c r="B28" s="29">
        <v>31</v>
      </c>
      <c r="C28" s="25">
        <v>1</v>
      </c>
      <c r="D28" s="140" t="s">
        <v>47</v>
      </c>
      <c r="E28" s="172">
        <f>IF(D28="F",0.6,IF(D28="C",0.3,IF(D28="D",0.4,IF(D28="E",0.5,IF(D28="A",0.1,IF(D28="G",0.7,IF(D28="H",0.8,IF(D28="B",0.2,""))))))))</f>
        <v>0.1</v>
      </c>
      <c r="F28" s="23" t="s">
        <v>114</v>
      </c>
      <c r="G28" s="31"/>
      <c r="H28" s="60"/>
      <c r="I28" s="58">
        <v>0.5</v>
      </c>
    </row>
    <row r="29" spans="1:9" ht="15.75" customHeight="1">
      <c r="A29" s="23" t="s">
        <v>123</v>
      </c>
      <c r="B29" s="29">
        <v>1</v>
      </c>
      <c r="C29" s="34">
        <v>2</v>
      </c>
      <c r="D29" s="107" t="s">
        <v>47</v>
      </c>
      <c r="E29" s="172">
        <f>IF(D29="F",0.6,IF(D29="C",0.3,IF(D29="D",0.4,IF(D29="E",0.5,IF(D29="A",0.1,IF(D29="G",0.7,IF(D29="H",0.8,IF(D29="B",0.2,""))))))))</f>
        <v>0.1</v>
      </c>
      <c r="F29" s="30" t="s">
        <v>113</v>
      </c>
      <c r="G29" s="31"/>
      <c r="H29" s="60"/>
      <c r="I29" s="58">
        <v>0.9</v>
      </c>
    </row>
    <row r="30" spans="1:9" ht="15.75" customHeight="1">
      <c r="A30" s="23" t="s">
        <v>124</v>
      </c>
      <c r="B30" s="29">
        <v>26</v>
      </c>
      <c r="C30" s="35">
        <v>2</v>
      </c>
      <c r="D30" s="173" t="s">
        <v>51</v>
      </c>
      <c r="E30" s="172">
        <f>IF(D30="F",0.6,IF(D30="C",0.3,IF(D30="D",0.4,IF(D30="E",0.5,IF(D30="A",0.1,IF(D30="G",0.7,IF(D30="H",0.8,IF(D30="B",0.2,""))))))))</f>
        <v>0.2</v>
      </c>
      <c r="F30" s="35" t="s">
        <v>108</v>
      </c>
      <c r="G30" s="31"/>
      <c r="H30" s="60"/>
      <c r="I30" s="58">
        <v>0.85</v>
      </c>
    </row>
    <row r="31" spans="1:9" ht="15.75" customHeight="1">
      <c r="A31" s="23" t="s">
        <v>125</v>
      </c>
      <c r="B31" s="29">
        <v>75</v>
      </c>
      <c r="C31" s="35">
        <v>1</v>
      </c>
      <c r="D31" s="173" t="s">
        <v>100</v>
      </c>
      <c r="E31" s="172">
        <f>IF(D31="F",0.6,IF(D31="C",0.3,IF(D31="D",0.4,IF(D31="E",0.5,IF(D31="A",0.1,IF(D31="G",0.7,IF(D31="H",0.8,IF(D31="B",0.2,""))))))))</f>
        <v>0.3</v>
      </c>
      <c r="F31" s="23" t="s">
        <v>114</v>
      </c>
      <c r="G31" s="31"/>
      <c r="H31" s="60"/>
      <c r="I31" s="58">
        <v>0.75</v>
      </c>
    </row>
    <row r="32" spans="1:9" ht="15.75" customHeight="1">
      <c r="A32" s="23" t="s">
        <v>126</v>
      </c>
      <c r="B32" s="29">
        <v>62</v>
      </c>
      <c r="C32" s="35">
        <v>1</v>
      </c>
      <c r="D32" s="173" t="s">
        <v>100</v>
      </c>
      <c r="E32" s="172">
        <f t="shared" ref="E32" si="4">IF(D32="F",0.6,IF(D32="C",0.3,IF(D32="D",0.4,IF(D32="E",0.5,IF(D32="A",0.1,IF(D32="G",0.7,IF(D32="H",0.8,IF(D32="B",0.2,""))))))))</f>
        <v>0.3</v>
      </c>
      <c r="F32" s="23" t="s">
        <v>114</v>
      </c>
      <c r="G32" s="61" t="s">
        <v>115</v>
      </c>
      <c r="H32" s="60"/>
      <c r="I32" s="58">
        <v>0.85</v>
      </c>
    </row>
    <row r="33" spans="1:14" ht="15.75" customHeight="1">
      <c r="A33" s="23" t="s">
        <v>74</v>
      </c>
      <c r="B33" s="29">
        <v>32</v>
      </c>
      <c r="C33" s="35">
        <v>4</v>
      </c>
      <c r="D33" s="140" t="s">
        <v>51</v>
      </c>
      <c r="E33" s="172">
        <f t="shared" ref="E33" si="5">IF(D33="F",0.6,IF(D33="C",0.3,IF(D33="D",0.4,IF(D33="E",0.5,IF(D33="A",0.1,IF(D33="G",0.7,IF(D33="H",0.8,IF(D33="B",0.2,""))))))))</f>
        <v>0.2</v>
      </c>
      <c r="F33" s="25" t="s">
        <v>110</v>
      </c>
      <c r="G33" s="62"/>
      <c r="H33" s="60"/>
      <c r="I33" s="58">
        <v>0.5</v>
      </c>
    </row>
    <row r="34" spans="1:14" ht="15.75" customHeight="1">
      <c r="B34" s="37"/>
      <c r="G34" s="31"/>
      <c r="H34" s="60"/>
      <c r="I34" s="64"/>
    </row>
    <row r="35" spans="1:14" ht="15.75" customHeight="1">
      <c r="A35" s="271" t="s">
        <v>75</v>
      </c>
      <c r="B35" s="272"/>
      <c r="C35" s="273" t="str">
        <f>A1</f>
        <v>VELA</v>
      </c>
      <c r="D35" s="270"/>
      <c r="G35" s="31"/>
      <c r="H35" s="60"/>
      <c r="I35" s="280" t="s">
        <v>39</v>
      </c>
    </row>
    <row r="36" spans="1:14" ht="31.5" customHeight="1">
      <c r="A36" s="109" t="s">
        <v>0</v>
      </c>
      <c r="B36" s="110" t="s">
        <v>40</v>
      </c>
      <c r="C36" s="111" t="s">
        <v>41</v>
      </c>
      <c r="D36" s="112" t="s">
        <v>42</v>
      </c>
      <c r="E36" s="14" t="s">
        <v>37</v>
      </c>
      <c r="F36" s="15" t="s">
        <v>76</v>
      </c>
      <c r="G36" s="21" t="s">
        <v>49</v>
      </c>
      <c r="H36" s="60"/>
      <c r="I36" s="277"/>
    </row>
    <row r="37" spans="1:14" ht="15.75" customHeight="1">
      <c r="A37" s="43" t="s">
        <v>77</v>
      </c>
      <c r="B37" s="29">
        <v>308</v>
      </c>
      <c r="C37" s="35">
        <v>3</v>
      </c>
      <c r="D37" s="44">
        <v>2.4</v>
      </c>
      <c r="E37" s="17"/>
      <c r="F37" s="18">
        <f>10+D37</f>
        <v>12.4</v>
      </c>
      <c r="G37" s="27">
        <f>F37-1.3</f>
        <v>11.1</v>
      </c>
      <c r="H37" s="60"/>
      <c r="I37" s="58">
        <v>0.2</v>
      </c>
    </row>
    <row r="38" spans="1:14" ht="15.75" customHeight="1">
      <c r="B38" s="37"/>
      <c r="D38" s="264"/>
      <c r="G38" s="31"/>
      <c r="H38" s="60"/>
      <c r="I38" s="64"/>
    </row>
    <row r="39" spans="1:14" ht="15.75" customHeight="1">
      <c r="A39" s="271" t="s">
        <v>78</v>
      </c>
      <c r="B39" s="272"/>
      <c r="C39" s="272"/>
      <c r="D39" s="272"/>
      <c r="E39" s="273" t="str">
        <f>A1</f>
        <v>VELA</v>
      </c>
      <c r="F39" s="270"/>
      <c r="G39" s="14" t="s">
        <v>37</v>
      </c>
      <c r="H39" s="55" t="s">
        <v>38</v>
      </c>
      <c r="I39" s="279" t="s">
        <v>39</v>
      </c>
    </row>
    <row r="40" spans="1:14" ht="30.75" customHeight="1">
      <c r="A40" s="109" t="s">
        <v>0</v>
      </c>
      <c r="B40" s="110" t="s">
        <v>40</v>
      </c>
      <c r="C40" s="111" t="s">
        <v>41</v>
      </c>
      <c r="D40" s="112" t="s">
        <v>42</v>
      </c>
      <c r="E40" s="113" t="s">
        <v>43</v>
      </c>
      <c r="F40" s="120" t="s">
        <v>106</v>
      </c>
      <c r="G40" s="149">
        <f>SUM(E41:E48)</f>
        <v>1.4000000000000001</v>
      </c>
      <c r="H40" s="56">
        <f>10+G40+G42+G48</f>
        <v>13</v>
      </c>
      <c r="I40" s="275"/>
      <c r="K40" s="108"/>
      <c r="L40" s="108"/>
      <c r="M40" s="108"/>
      <c r="N40" s="108"/>
    </row>
    <row r="41" spans="1:14" ht="15.75" customHeight="1">
      <c r="A41" s="91" t="s">
        <v>79</v>
      </c>
      <c r="B41" s="92">
        <v>73</v>
      </c>
      <c r="C41" s="30">
        <v>3</v>
      </c>
      <c r="D41" s="185" t="s">
        <v>47</v>
      </c>
      <c r="E41" s="204">
        <f t="shared" ref="E41:E42" si="6">IF(D41="F",0.6,IF(D41="C",0.3,IF(D41="D",0.4,IF(D41="E",0.5,IF(D41="A",0.1,IF(D41="G",0.7,IF(D41="H",0.8,IF(D41="B",0.2,""))))))))</f>
        <v>0.1</v>
      </c>
      <c r="F41" s="35" t="s">
        <v>108</v>
      </c>
      <c r="G41" s="20" t="s">
        <v>48</v>
      </c>
      <c r="H41" s="57" t="s">
        <v>49</v>
      </c>
      <c r="I41" s="58">
        <v>0.85</v>
      </c>
      <c r="J41" s="108"/>
    </row>
    <row r="42" spans="1:14" ht="15.75" customHeight="1">
      <c r="A42" s="23" t="s">
        <v>80</v>
      </c>
      <c r="B42" s="24">
        <v>1</v>
      </c>
      <c r="C42" s="35">
        <v>2</v>
      </c>
      <c r="D42" s="173" t="s">
        <v>47</v>
      </c>
      <c r="E42" s="172">
        <f t="shared" si="6"/>
        <v>0.1</v>
      </c>
      <c r="F42" s="19" t="s">
        <v>114</v>
      </c>
      <c r="G42" s="26">
        <v>1.6</v>
      </c>
      <c r="H42" s="59">
        <f>H40-1.5</f>
        <v>11.5</v>
      </c>
      <c r="I42" s="58">
        <v>0.85</v>
      </c>
    </row>
    <row r="43" spans="1:14" ht="15.75" customHeight="1">
      <c r="A43" s="23" t="s">
        <v>127</v>
      </c>
      <c r="B43" s="24">
        <v>21</v>
      </c>
      <c r="C43" s="25">
        <v>3</v>
      </c>
      <c r="D43" s="107" t="s">
        <v>100</v>
      </c>
      <c r="E43" s="172">
        <f>IF(D43="F",0.6,IF(D43="C",0.3,IF(D43="D",0.4,IF(D43="E",0.5,IF(D43="A",0.1,IF(D43="G",0.7,IF(D43="H",0.8,IF(D43="B",0.2,""))))))))</f>
        <v>0.3</v>
      </c>
      <c r="F43" s="35" t="s">
        <v>108</v>
      </c>
      <c r="G43" s="31"/>
      <c r="H43" s="60"/>
      <c r="I43" s="58">
        <v>0.85</v>
      </c>
    </row>
    <row r="44" spans="1:14" ht="15.75" customHeight="1">
      <c r="A44" s="23" t="s">
        <v>99</v>
      </c>
      <c r="B44" s="24">
        <v>15</v>
      </c>
      <c r="C44" s="30">
        <v>3</v>
      </c>
      <c r="D44" s="140" t="s">
        <v>100</v>
      </c>
      <c r="E44" s="172">
        <f>IF(D44="F",0.6,IF(D44="C",0.3,IF(D44="D",0.4,IF(D44="E",0.5,IF(D44="A",0.1,IF(D44="G",0.7,IF(D44="H",0.8,IF(D44="B",0.2,""))))))))</f>
        <v>0.3</v>
      </c>
      <c r="F44" s="35" t="s">
        <v>108</v>
      </c>
      <c r="G44" s="31"/>
      <c r="H44" s="60"/>
      <c r="I44" s="58">
        <v>0.65</v>
      </c>
    </row>
    <row r="45" spans="1:14" ht="15.75" customHeight="1">
      <c r="A45" s="23" t="s">
        <v>128</v>
      </c>
      <c r="B45" s="29">
        <v>116</v>
      </c>
      <c r="C45" s="25">
        <v>3</v>
      </c>
      <c r="D45" s="140" t="s">
        <v>51</v>
      </c>
      <c r="E45" s="172">
        <f>IF(D45="F",0.6,IF(D45="C",0.3,IF(D45="D",0.4,IF(D45="E",0.5,IF(D45="A",0.1,IF(D45="G",0.7,IF(D45="H",0.8,IF(D45="B",0.2,""))))))))</f>
        <v>0.2</v>
      </c>
      <c r="F45" s="35" t="s">
        <v>108</v>
      </c>
      <c r="G45" s="31"/>
      <c r="H45" s="60"/>
      <c r="I45" s="58">
        <v>0.9</v>
      </c>
    </row>
    <row r="46" spans="1:14" ht="15.75" customHeight="1">
      <c r="A46" s="23" t="s">
        <v>83</v>
      </c>
      <c r="B46" s="24">
        <v>8</v>
      </c>
      <c r="C46" s="35">
        <v>2</v>
      </c>
      <c r="D46" s="173" t="s">
        <v>51</v>
      </c>
      <c r="E46" s="172">
        <f>IF(D46="F",0.6,IF(D46="C",0.3,IF(D46="D",0.4,IF(D46="E",0.5,IF(D46="A",0.1,IF(D46="G",0.7,IF(D46="H",0.8,IF(D46="B",0.2,""))))))))</f>
        <v>0.2</v>
      </c>
      <c r="F46" s="19" t="s">
        <v>114</v>
      </c>
      <c r="G46" s="31"/>
      <c r="H46" s="60"/>
      <c r="I46" s="58">
        <v>0.9</v>
      </c>
    </row>
    <row r="47" spans="1:14" ht="15.75" customHeight="1">
      <c r="A47" s="23" t="s">
        <v>81</v>
      </c>
      <c r="B47" s="24">
        <v>1</v>
      </c>
      <c r="C47" s="35">
        <v>1</v>
      </c>
      <c r="D47" s="173" t="s">
        <v>47</v>
      </c>
      <c r="E47" s="172">
        <f>IF(D47="F",0.6,IF(D47="C",0.3,IF(D47="D",0.4,IF(D47="E",0.5,IF(D47="A",0.1,IF(D47="G",0.7,IF(D47="H",0.8,IF(D47="B",0.2,""))))))))</f>
        <v>0.1</v>
      </c>
      <c r="F47" s="30" t="s">
        <v>113</v>
      </c>
      <c r="G47" s="61" t="s">
        <v>115</v>
      </c>
      <c r="H47" s="60"/>
      <c r="I47" s="58">
        <v>0.9</v>
      </c>
    </row>
    <row r="48" spans="1:14" ht="15.75" customHeight="1">
      <c r="A48" s="23" t="s">
        <v>84</v>
      </c>
      <c r="B48" s="24">
        <v>43</v>
      </c>
      <c r="C48" s="35">
        <v>4</v>
      </c>
      <c r="D48" s="140" t="s">
        <v>47</v>
      </c>
      <c r="E48" s="172">
        <f t="shared" ref="E48" si="7">IF(D48="F",0.6,IF(D48="C",0.3,IF(D48="D",0.4,IF(D48="E",0.5,IF(D48="A",0.1,IF(D48="G",0.7,IF(D48="H",0.8,IF(D48="B",0.2,""))))))))</f>
        <v>0.1</v>
      </c>
      <c r="F48" s="67" t="s">
        <v>110</v>
      </c>
      <c r="G48" s="62"/>
      <c r="H48" s="60"/>
      <c r="I48" s="58">
        <v>0.5</v>
      </c>
    </row>
    <row r="49" spans="1:9" ht="15.75" customHeight="1">
      <c r="B49" s="37"/>
      <c r="G49" s="31"/>
      <c r="H49" s="60"/>
      <c r="I49" s="64"/>
    </row>
    <row r="50" spans="1:9" ht="15.75" customHeight="1">
      <c r="A50" s="271" t="s">
        <v>7</v>
      </c>
      <c r="B50" s="272"/>
      <c r="C50" s="272"/>
      <c r="D50" s="272"/>
      <c r="E50" s="273" t="str">
        <f>A1</f>
        <v>VELA</v>
      </c>
      <c r="F50" s="270"/>
      <c r="G50" s="14" t="s">
        <v>37</v>
      </c>
      <c r="H50" s="55" t="s">
        <v>38</v>
      </c>
      <c r="I50" s="279" t="s">
        <v>39</v>
      </c>
    </row>
    <row r="51" spans="1:9" ht="34.5" customHeight="1">
      <c r="A51" s="103" t="s">
        <v>0</v>
      </c>
      <c r="B51" s="127" t="s">
        <v>40</v>
      </c>
      <c r="C51" s="128" t="s">
        <v>41</v>
      </c>
      <c r="D51" s="51" t="s">
        <v>42</v>
      </c>
      <c r="E51" s="129" t="s">
        <v>43</v>
      </c>
      <c r="F51" s="159" t="s">
        <v>106</v>
      </c>
      <c r="G51" s="149">
        <f>SUM(E52:E59)</f>
        <v>1.0999999999999999</v>
      </c>
      <c r="H51" s="56">
        <f>10+G51+G53+G59</f>
        <v>12.9</v>
      </c>
      <c r="I51" s="275"/>
    </row>
    <row r="52" spans="1:9" ht="15.75" customHeight="1">
      <c r="A52" s="23" t="s">
        <v>129</v>
      </c>
      <c r="B52" s="24">
        <v>26</v>
      </c>
      <c r="C52" s="35">
        <v>2</v>
      </c>
      <c r="D52" s="171" t="s">
        <v>51</v>
      </c>
      <c r="E52" s="172">
        <f>IF(D52="F",0.6,IF(D52="C",0.3,IF(D52="D",0.4,IF(D52="E",0.5,IF(D52="A",0.1,IF(D52="G",0.7,IF(D52="H",0.8,IF(D52="B",0.2,""))))))))</f>
        <v>0.2</v>
      </c>
      <c r="F52" s="30" t="s">
        <v>113</v>
      </c>
      <c r="G52" s="20" t="s">
        <v>48</v>
      </c>
      <c r="H52" s="147" t="s">
        <v>49</v>
      </c>
      <c r="I52" s="58">
        <v>0.85</v>
      </c>
    </row>
    <row r="53" spans="1:9" ht="15.75" customHeight="1">
      <c r="A53" s="23" t="s">
        <v>89</v>
      </c>
      <c r="B53" s="24">
        <v>1</v>
      </c>
      <c r="C53" s="35">
        <v>3</v>
      </c>
      <c r="D53" s="171" t="s">
        <v>47</v>
      </c>
      <c r="E53" s="172">
        <f>IF(D53="F",0.6,IF(D53="C",0.3,IF(D53="D",0.4,IF(D53="E",0.5,IF(D53="A",0.1,IF(D53="G",0.7,IF(D53="H",0.8,IF(D53="B",0.2,""))))))))</f>
        <v>0.1</v>
      </c>
      <c r="F53" s="209" t="s">
        <v>108</v>
      </c>
      <c r="G53" s="26">
        <v>1.8</v>
      </c>
      <c r="H53" s="148">
        <f>H51-1.5</f>
        <v>11.4</v>
      </c>
      <c r="I53" s="58">
        <v>0.85</v>
      </c>
    </row>
    <row r="54" spans="1:9" ht="15.75" customHeight="1">
      <c r="A54" s="45" t="s">
        <v>101</v>
      </c>
      <c r="B54" s="46">
        <v>25</v>
      </c>
      <c r="C54" s="25">
        <v>3</v>
      </c>
      <c r="D54" s="107" t="s">
        <v>47</v>
      </c>
      <c r="E54" s="172">
        <f>IF(D54="F",0.6,IF(D54="C",0.3,IF(D54="D",0.4,IF(D54="E",0.5,IF(D54="A",0.1,IF(D54="G",0.7,IF(D54="H",0.8,IF(D54="B",0.2,""))))))))</f>
        <v>0.1</v>
      </c>
      <c r="F54" s="35" t="s">
        <v>108</v>
      </c>
      <c r="G54" s="90"/>
      <c r="H54" s="60"/>
      <c r="I54" s="58">
        <v>0.85</v>
      </c>
    </row>
    <row r="55" spans="1:9" ht="15.75" customHeight="1">
      <c r="A55" s="23" t="s">
        <v>87</v>
      </c>
      <c r="B55" s="24">
        <v>13</v>
      </c>
      <c r="C55" s="30">
        <v>1</v>
      </c>
      <c r="D55" s="140" t="s">
        <v>47</v>
      </c>
      <c r="E55" s="172">
        <f>IF(D55="F",0.6,IF(D55="C",0.3,IF(D55="D",0.4,IF(D55="E",0.5,IF(D55="A",0.1,IF(D55="G",0.7,IF(D55="H",0.8,IF(D55="B",0.2,""))))))))</f>
        <v>0.1</v>
      </c>
      <c r="F55" s="23" t="s">
        <v>114</v>
      </c>
      <c r="G55" s="90"/>
      <c r="H55" s="60"/>
      <c r="I55" s="58">
        <v>0.85</v>
      </c>
    </row>
    <row r="56" spans="1:9" ht="15.75" customHeight="1">
      <c r="A56" s="23" t="s">
        <v>102</v>
      </c>
      <c r="B56" s="24">
        <v>37</v>
      </c>
      <c r="C56" s="25">
        <v>1</v>
      </c>
      <c r="D56" s="140" t="s">
        <v>47</v>
      </c>
      <c r="E56" s="172">
        <f>IF(D56="F",0.6,IF(D56="C",0.3,IF(D56="D",0.4,IF(D56="E",0.5,IF(D56="A",0.1,IF(D56="G",0.7,IF(D56="H",0.8,IF(D56="B",0.2,""))))))))</f>
        <v>0.1</v>
      </c>
      <c r="F56" s="23" t="s">
        <v>114</v>
      </c>
      <c r="G56" s="90"/>
      <c r="H56" s="60"/>
      <c r="I56" s="123">
        <v>0.85</v>
      </c>
    </row>
    <row r="57" spans="1:9" ht="15.75" customHeight="1">
      <c r="A57" s="23" t="s">
        <v>59</v>
      </c>
      <c r="B57" s="24">
        <v>13</v>
      </c>
      <c r="C57" s="34">
        <v>1</v>
      </c>
      <c r="D57" s="107" t="s">
        <v>47</v>
      </c>
      <c r="E57" s="172">
        <f>IF(D57="F",0.6,IF(D57="C",0.3,IF(D57="D",0.4,IF(D57="E",0.5,IF(D57="A",0.1,IF(D57="G",0.7,IF(D57="H",0.8,IF(D57="B",0.2,""))))))))</f>
        <v>0.1</v>
      </c>
      <c r="F57" s="23" t="s">
        <v>114</v>
      </c>
      <c r="G57" s="90"/>
      <c r="H57" s="60"/>
      <c r="I57" s="58">
        <v>0.2</v>
      </c>
    </row>
    <row r="58" spans="1:9" ht="15.75" customHeight="1">
      <c r="A58" s="23" t="s">
        <v>86</v>
      </c>
      <c r="B58" s="24">
        <v>7</v>
      </c>
      <c r="C58" s="35">
        <v>1</v>
      </c>
      <c r="D58" s="173" t="s">
        <v>47</v>
      </c>
      <c r="E58" s="172">
        <f t="shared" ref="E58:E59" si="8">IF(D58="F",0.6,IF(D58="C",0.3,IF(D58="D",0.4,IF(D58="E",0.5,IF(D58="A",0.1,IF(D58="G",0.7,IF(D58="H",0.8,IF(D58="B",0.2,""))))))))</f>
        <v>0.1</v>
      </c>
      <c r="F58" s="23" t="s">
        <v>114</v>
      </c>
      <c r="G58" s="150" t="s">
        <v>115</v>
      </c>
      <c r="H58" s="60"/>
      <c r="I58" s="58">
        <v>0.9</v>
      </c>
    </row>
    <row r="59" spans="1:9" ht="15.75" customHeight="1">
      <c r="A59" s="124" t="s">
        <v>130</v>
      </c>
      <c r="B59" s="24">
        <v>39</v>
      </c>
      <c r="C59" s="198">
        <v>4</v>
      </c>
      <c r="D59" s="140" t="s">
        <v>100</v>
      </c>
      <c r="E59" s="172">
        <f t="shared" si="8"/>
        <v>0.3</v>
      </c>
      <c r="F59" s="160" t="s">
        <v>110</v>
      </c>
      <c r="G59" s="62"/>
      <c r="H59" s="60"/>
      <c r="I59" s="58">
        <v>0.85</v>
      </c>
    </row>
    <row r="60" spans="1:9" ht="17.25" customHeight="1">
      <c r="A60" s="69"/>
      <c r="B60" s="125"/>
      <c r="C60" s="126"/>
      <c r="D60" s="126"/>
      <c r="E60" s="126"/>
      <c r="F60" s="126"/>
      <c r="G60" s="47"/>
      <c r="H60" s="49"/>
      <c r="I60" s="13"/>
    </row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I50:I51"/>
    <mergeCell ref="A50:D50"/>
    <mergeCell ref="E50:F50"/>
    <mergeCell ref="I35:I36"/>
    <mergeCell ref="I39:I40"/>
    <mergeCell ref="E39:F39"/>
    <mergeCell ref="A39:D39"/>
    <mergeCell ref="A35:B35"/>
    <mergeCell ref="C35:D35"/>
    <mergeCell ref="I24:I25"/>
    <mergeCell ref="A24:D24"/>
    <mergeCell ref="E24:F24"/>
    <mergeCell ref="A2:D2"/>
    <mergeCell ref="A1:C1"/>
    <mergeCell ref="I13:I14"/>
    <mergeCell ref="E13:F13"/>
    <mergeCell ref="I2:I3"/>
    <mergeCell ref="E2:F2"/>
    <mergeCell ref="A13:D13"/>
  </mergeCells>
  <conditionalFormatting sqref="A28:A31">
    <cfRule type="expression" dxfId="1287" priority="348">
      <formula>R:R&gt;=80</formula>
    </cfRule>
  </conditionalFormatting>
  <conditionalFormatting sqref="A35">
    <cfRule type="expression" dxfId="1286" priority="349">
      <formula>CH:CH&gt;=80</formula>
    </cfRule>
  </conditionalFormatting>
  <conditionalFormatting sqref="A45">
    <cfRule type="expression" dxfId="1285" priority="345">
      <formula>AA:AA&gt;=80</formula>
    </cfRule>
  </conditionalFormatting>
  <conditionalFormatting sqref="C28:C33 C52:C58 M4 C5:C11 C21:C22 C15:C17">
    <cfRule type="cellIs" dxfId="1284" priority="264" operator="equal">
      <formula>4</formula>
    </cfRule>
    <cfRule type="cellIs" dxfId="1283" priority="265" operator="equal">
      <formula>3</formula>
    </cfRule>
    <cfRule type="cellIs" dxfId="1282" priority="266" operator="equal">
      <formula>2</formula>
    </cfRule>
    <cfRule type="cellIs" dxfId="1281" priority="267" operator="equal">
      <formula>1</formula>
    </cfRule>
  </conditionalFormatting>
  <conditionalFormatting sqref="C26">
    <cfRule type="cellIs" dxfId="1280" priority="237" operator="equal">
      <formula>4</formula>
    </cfRule>
    <cfRule type="cellIs" dxfId="1279" priority="238" operator="equal">
      <formula>3</formula>
    </cfRule>
    <cfRule type="cellIs" dxfId="1278" priority="239" operator="equal">
      <formula>2</formula>
    </cfRule>
    <cfRule type="cellIs" dxfId="1277" priority="240" operator="equal">
      <formula>1</formula>
    </cfRule>
  </conditionalFormatting>
  <conditionalFormatting sqref="D28:D33 D52:D58 N4 D5:D11 D21:D22 D15:D17">
    <cfRule type="containsText" dxfId="1276" priority="268" operator="containsText" text="G">
      <formula>NOT(ISERROR(SEARCH("G",D4)))</formula>
    </cfRule>
    <cfRule type="containsText" dxfId="1275" priority="269" operator="containsText" text="F">
      <formula>NOT(ISERROR(SEARCH("F",D4)))</formula>
    </cfRule>
    <cfRule type="containsText" dxfId="1274" priority="270" operator="containsText" text="E">
      <formula>NOT(ISERROR(SEARCH("E",D4)))</formula>
    </cfRule>
    <cfRule type="containsText" dxfId="1273" priority="271" operator="containsText" text="D">
      <formula>NOT(ISERROR(SEARCH("D",D4)))</formula>
    </cfRule>
    <cfRule type="containsText" dxfId="1272" priority="272" operator="containsText" text="C">
      <formula>NOT(ISERROR(SEARCH("C",D4)))</formula>
    </cfRule>
    <cfRule type="containsText" dxfId="1271" priority="273" operator="containsText" text="B">
      <formula>NOT(ISERROR(SEARCH("B",D4)))</formula>
    </cfRule>
    <cfRule type="containsText" dxfId="1270" priority="274" operator="containsText" text="A">
      <formula>NOT(ISERROR(SEARCH("A",D4)))</formula>
    </cfRule>
  </conditionalFormatting>
  <conditionalFormatting sqref="D26">
    <cfRule type="containsText" dxfId="1269" priority="311" operator="containsText" text="G">
      <formula>NOT(ISERROR(SEARCH("G",D26)))</formula>
    </cfRule>
    <cfRule type="containsText" dxfId="1268" priority="312" operator="containsText" text="F">
      <formula>NOT(ISERROR(SEARCH("F",D26)))</formula>
    </cfRule>
    <cfRule type="containsText" dxfId="1267" priority="313" operator="containsText" text="E">
      <formula>NOT(ISERROR(SEARCH("E",D26)))</formula>
    </cfRule>
    <cfRule type="containsText" dxfId="1266" priority="314" operator="containsText" text="D">
      <formula>NOT(ISERROR(SEARCH("D",D26)))</formula>
    </cfRule>
    <cfRule type="containsText" dxfId="1265" priority="315" operator="containsText" text="C">
      <formula>NOT(ISERROR(SEARCH("C",D26)))</formula>
    </cfRule>
    <cfRule type="containsText" dxfId="1264" priority="316" operator="containsText" text="B">
      <formula>NOT(ISERROR(SEARCH("B",D26)))</formula>
    </cfRule>
    <cfRule type="containsText" dxfId="1263" priority="317" operator="containsText" text="A">
      <formula>NOT(ISERROR(SEARCH("A",D26)))</formula>
    </cfRule>
  </conditionalFormatting>
  <conditionalFormatting sqref="H1:H60">
    <cfRule type="cellIs" dxfId="1262" priority="350" operator="between">
      <formula>0.7</formula>
      <formula>0.8</formula>
    </cfRule>
    <cfRule type="cellIs" dxfId="1261" priority="351" operator="between">
      <formula>0.8</formula>
      <formula>1</formula>
    </cfRule>
    <cfRule type="cellIs" dxfId="1260" priority="352" operator="between">
      <formula>69%</formula>
      <formula>0.01</formula>
    </cfRule>
  </conditionalFormatting>
  <conditionalFormatting sqref="I1">
    <cfRule type="cellIs" dxfId="1259" priority="275" operator="between">
      <formula>0.7</formula>
      <formula>0.8</formula>
    </cfRule>
    <cfRule type="cellIs" dxfId="1258" priority="276" operator="between">
      <formula>0.8</formula>
      <formula>1</formula>
    </cfRule>
    <cfRule type="cellIs" dxfId="1257" priority="277" operator="between">
      <formula>69%</formula>
      <formula>0.01</formula>
    </cfRule>
  </conditionalFormatting>
  <conditionalFormatting sqref="I1:I60">
    <cfRule type="cellIs" dxfId="1256" priority="278" stopIfTrue="1" operator="between">
      <formula>0.81</formula>
      <formula>1</formula>
    </cfRule>
    <cfRule type="cellIs" dxfId="1255" priority="279" stopIfTrue="1" operator="between">
      <formula>0.7</formula>
      <formula>0.8</formula>
    </cfRule>
    <cfRule type="cellIs" dxfId="1254" priority="280" stopIfTrue="1" operator="between">
      <formula>0.01</formula>
      <formula>0.69</formula>
    </cfRule>
  </conditionalFormatting>
  <conditionalFormatting sqref="C27">
    <cfRule type="cellIs" dxfId="1253" priority="200" operator="equal">
      <formula>4</formula>
    </cfRule>
    <cfRule type="cellIs" dxfId="1252" priority="201" operator="equal">
      <formula>3</formula>
    </cfRule>
    <cfRule type="cellIs" dxfId="1251" priority="202" operator="equal">
      <formula>2</formula>
    </cfRule>
    <cfRule type="cellIs" dxfId="1250" priority="203" operator="equal">
      <formula>1</formula>
    </cfRule>
  </conditionalFormatting>
  <conditionalFormatting sqref="D27">
    <cfRule type="containsText" dxfId="1249" priority="193" operator="containsText" text="G">
      <formula>NOT(ISERROR(SEARCH("G",D27)))</formula>
    </cfRule>
    <cfRule type="containsText" dxfId="1248" priority="194" operator="containsText" text="F">
      <formula>NOT(ISERROR(SEARCH("F",D27)))</formula>
    </cfRule>
    <cfRule type="containsText" dxfId="1247" priority="195" operator="containsText" text="E">
      <formula>NOT(ISERROR(SEARCH("E",D27)))</formula>
    </cfRule>
    <cfRule type="containsText" dxfId="1246" priority="196" operator="containsText" text="D">
      <formula>NOT(ISERROR(SEARCH("D",D27)))</formula>
    </cfRule>
    <cfRule type="containsText" dxfId="1245" priority="197" operator="containsText" text="C">
      <formula>NOT(ISERROR(SEARCH("C",D27)))</formula>
    </cfRule>
    <cfRule type="containsText" dxfId="1244" priority="198" operator="containsText" text="B">
      <formula>NOT(ISERROR(SEARCH("B",D27)))</formula>
    </cfRule>
    <cfRule type="containsText" dxfId="1243" priority="199" operator="containsText" text="A">
      <formula>NOT(ISERROR(SEARCH("A",D27)))</formula>
    </cfRule>
  </conditionalFormatting>
  <conditionalFormatting sqref="C59">
    <cfRule type="cellIs" dxfId="1242" priority="178" operator="equal">
      <formula>4</formula>
    </cfRule>
    <cfRule type="cellIs" dxfId="1241" priority="179" operator="equal">
      <formula>3</formula>
    </cfRule>
    <cfRule type="cellIs" dxfId="1240" priority="180" operator="equal">
      <formula>2</formula>
    </cfRule>
    <cfRule type="cellIs" dxfId="1239" priority="181" operator="equal">
      <formula>1</formula>
    </cfRule>
  </conditionalFormatting>
  <conditionalFormatting sqref="D59">
    <cfRule type="containsText" dxfId="1238" priority="171" operator="containsText" text="G">
      <formula>NOT(ISERROR(SEARCH("G",D59)))</formula>
    </cfRule>
    <cfRule type="containsText" dxfId="1237" priority="172" operator="containsText" text="F">
      <formula>NOT(ISERROR(SEARCH("F",D59)))</formula>
    </cfRule>
    <cfRule type="containsText" dxfId="1236" priority="173" operator="containsText" text="E">
      <formula>NOT(ISERROR(SEARCH("E",D59)))</formula>
    </cfRule>
    <cfRule type="containsText" dxfId="1235" priority="174" operator="containsText" text="D">
      <formula>NOT(ISERROR(SEARCH("D",D59)))</formula>
    </cfRule>
    <cfRule type="containsText" dxfId="1234" priority="175" operator="containsText" text="C">
      <formula>NOT(ISERROR(SEARCH("C",D59)))</formula>
    </cfRule>
    <cfRule type="containsText" dxfId="1233" priority="176" operator="containsText" text="B">
      <formula>NOT(ISERROR(SEARCH("B",D59)))</formula>
    </cfRule>
    <cfRule type="containsText" dxfId="1232" priority="177" operator="containsText" text="A">
      <formula>NOT(ISERROR(SEARCH("A",D59)))</formula>
    </cfRule>
  </conditionalFormatting>
  <conditionalFormatting sqref="C41">
    <cfRule type="cellIs" dxfId="1231" priority="149" operator="equal">
      <formula>4</formula>
    </cfRule>
    <cfRule type="cellIs" dxfId="1230" priority="150" operator="equal">
      <formula>3</formula>
    </cfRule>
    <cfRule type="cellIs" dxfId="1229" priority="151" operator="equal">
      <formula>2</formula>
    </cfRule>
    <cfRule type="cellIs" dxfId="1228" priority="152" operator="equal">
      <formula>1</formula>
    </cfRule>
  </conditionalFormatting>
  <conditionalFormatting sqref="D41">
    <cfRule type="containsText" dxfId="1227" priority="153" operator="containsText" text="G">
      <formula>NOT(ISERROR(SEARCH("G",D41)))</formula>
    </cfRule>
    <cfRule type="containsText" dxfId="1226" priority="154" operator="containsText" text="F">
      <formula>NOT(ISERROR(SEARCH("F",D41)))</formula>
    </cfRule>
    <cfRule type="containsText" dxfId="1225" priority="155" operator="containsText" text="E">
      <formula>NOT(ISERROR(SEARCH("E",D41)))</formula>
    </cfRule>
    <cfRule type="containsText" dxfId="1224" priority="156" operator="containsText" text="D">
      <formula>NOT(ISERROR(SEARCH("D",D41)))</formula>
    </cfRule>
    <cfRule type="containsText" dxfId="1223" priority="157" operator="containsText" text="C">
      <formula>NOT(ISERROR(SEARCH("C",D41)))</formula>
    </cfRule>
    <cfRule type="containsText" dxfId="1222" priority="158" operator="containsText" text="B">
      <formula>NOT(ISERROR(SEARCH("B",D41)))</formula>
    </cfRule>
    <cfRule type="containsText" dxfId="1221" priority="159" operator="containsText" text="A">
      <formula>NOT(ISERROR(SEARCH("A",D41)))</formula>
    </cfRule>
  </conditionalFormatting>
  <conditionalFormatting sqref="C42">
    <cfRule type="cellIs" dxfId="1220" priority="145" operator="equal">
      <formula>4</formula>
    </cfRule>
    <cfRule type="cellIs" dxfId="1219" priority="146" operator="equal">
      <formula>3</formula>
    </cfRule>
    <cfRule type="cellIs" dxfId="1218" priority="147" operator="equal">
      <formula>2</formula>
    </cfRule>
    <cfRule type="cellIs" dxfId="1217" priority="148" operator="equal">
      <formula>1</formula>
    </cfRule>
  </conditionalFormatting>
  <conditionalFormatting sqref="D42">
    <cfRule type="containsText" dxfId="1216" priority="138" operator="containsText" text="G">
      <formula>NOT(ISERROR(SEARCH("G",D42)))</formula>
    </cfRule>
    <cfRule type="containsText" dxfId="1215" priority="139" operator="containsText" text="F">
      <formula>NOT(ISERROR(SEARCH("F",D42)))</formula>
    </cfRule>
    <cfRule type="containsText" dxfId="1214" priority="140" operator="containsText" text="E">
      <formula>NOT(ISERROR(SEARCH("E",D42)))</formula>
    </cfRule>
    <cfRule type="containsText" dxfId="1213" priority="141" operator="containsText" text="D">
      <formula>NOT(ISERROR(SEARCH("D",D42)))</formula>
    </cfRule>
    <cfRule type="containsText" dxfId="1212" priority="142" operator="containsText" text="C">
      <formula>NOT(ISERROR(SEARCH("C",D42)))</formula>
    </cfRule>
    <cfRule type="containsText" dxfId="1211" priority="143" operator="containsText" text="B">
      <formula>NOT(ISERROR(SEARCH("B",D42)))</formula>
    </cfRule>
    <cfRule type="containsText" dxfId="1210" priority="144" operator="containsText" text="A">
      <formula>NOT(ISERROR(SEARCH("A",D42)))</formula>
    </cfRule>
  </conditionalFormatting>
  <conditionalFormatting sqref="C43">
    <cfRule type="cellIs" dxfId="1209" priority="127" operator="equal">
      <formula>4</formula>
    </cfRule>
    <cfRule type="cellIs" dxfId="1208" priority="128" operator="equal">
      <formula>3</formula>
    </cfRule>
    <cfRule type="cellIs" dxfId="1207" priority="129" operator="equal">
      <formula>2</formula>
    </cfRule>
    <cfRule type="cellIs" dxfId="1206" priority="130" operator="equal">
      <formula>1</formula>
    </cfRule>
  </conditionalFormatting>
  <conditionalFormatting sqref="D43">
    <cfRule type="containsText" dxfId="1205" priority="131" operator="containsText" text="G">
      <formula>NOT(ISERROR(SEARCH("G",D43)))</formula>
    </cfRule>
    <cfRule type="containsText" dxfId="1204" priority="132" operator="containsText" text="F">
      <formula>NOT(ISERROR(SEARCH("F",D43)))</formula>
    </cfRule>
    <cfRule type="containsText" dxfId="1203" priority="133" operator="containsText" text="E">
      <formula>NOT(ISERROR(SEARCH("E",D43)))</formula>
    </cfRule>
    <cfRule type="containsText" dxfId="1202" priority="134" operator="containsText" text="D">
      <formula>NOT(ISERROR(SEARCH("D",D43)))</formula>
    </cfRule>
    <cfRule type="containsText" dxfId="1201" priority="135" operator="containsText" text="C">
      <formula>NOT(ISERROR(SEARCH("C",D43)))</formula>
    </cfRule>
    <cfRule type="containsText" dxfId="1200" priority="136" operator="containsText" text="B">
      <formula>NOT(ISERROR(SEARCH("B",D43)))</formula>
    </cfRule>
    <cfRule type="containsText" dxfId="1199" priority="137" operator="containsText" text="A">
      <formula>NOT(ISERROR(SEARCH("A",D43)))</formula>
    </cfRule>
  </conditionalFormatting>
  <conditionalFormatting sqref="C44">
    <cfRule type="cellIs" dxfId="1198" priority="116" operator="equal">
      <formula>4</formula>
    </cfRule>
    <cfRule type="cellIs" dxfId="1197" priority="117" operator="equal">
      <formula>3</formula>
    </cfRule>
    <cfRule type="cellIs" dxfId="1196" priority="118" operator="equal">
      <formula>2</formula>
    </cfRule>
    <cfRule type="cellIs" dxfId="1195" priority="119" operator="equal">
      <formula>1</formula>
    </cfRule>
  </conditionalFormatting>
  <conditionalFormatting sqref="D44">
    <cfRule type="containsText" dxfId="1194" priority="120" operator="containsText" text="G">
      <formula>NOT(ISERROR(SEARCH("G",D44)))</formula>
    </cfRule>
    <cfRule type="containsText" dxfId="1193" priority="121" operator="containsText" text="F">
      <formula>NOT(ISERROR(SEARCH("F",D44)))</formula>
    </cfRule>
    <cfRule type="containsText" dxfId="1192" priority="122" operator="containsText" text="E">
      <formula>NOT(ISERROR(SEARCH("E",D44)))</formula>
    </cfRule>
    <cfRule type="containsText" dxfId="1191" priority="123" operator="containsText" text="D">
      <formula>NOT(ISERROR(SEARCH("D",D44)))</formula>
    </cfRule>
    <cfRule type="containsText" dxfId="1190" priority="124" operator="containsText" text="C">
      <formula>NOT(ISERROR(SEARCH("C",D44)))</formula>
    </cfRule>
    <cfRule type="containsText" dxfId="1189" priority="125" operator="containsText" text="B">
      <formula>NOT(ISERROR(SEARCH("B",D44)))</formula>
    </cfRule>
    <cfRule type="containsText" dxfId="1188" priority="126" operator="containsText" text="A">
      <formula>NOT(ISERROR(SEARCH("A",D44)))</formula>
    </cfRule>
  </conditionalFormatting>
  <conditionalFormatting sqref="C45">
    <cfRule type="cellIs" dxfId="1187" priority="104" operator="equal">
      <formula>4</formula>
    </cfRule>
    <cfRule type="cellIs" dxfId="1186" priority="105" operator="equal">
      <formula>3</formula>
    </cfRule>
    <cfRule type="cellIs" dxfId="1185" priority="106" operator="equal">
      <formula>2</formula>
    </cfRule>
    <cfRule type="cellIs" dxfId="1184" priority="107" operator="equal">
      <formula>1</formula>
    </cfRule>
  </conditionalFormatting>
  <conditionalFormatting sqref="D45">
    <cfRule type="containsText" dxfId="1183" priority="108" operator="containsText" text="G">
      <formula>NOT(ISERROR(SEARCH("G",D45)))</formula>
    </cfRule>
    <cfRule type="containsText" dxfId="1182" priority="109" operator="containsText" text="F">
      <formula>NOT(ISERROR(SEARCH("F",D45)))</formula>
    </cfRule>
    <cfRule type="containsText" dxfId="1181" priority="110" operator="containsText" text="E">
      <formula>NOT(ISERROR(SEARCH("E",D45)))</formula>
    </cfRule>
    <cfRule type="containsText" dxfId="1180" priority="111" operator="containsText" text="D">
      <formula>NOT(ISERROR(SEARCH("D",D45)))</formula>
    </cfRule>
    <cfRule type="containsText" dxfId="1179" priority="112" operator="containsText" text="C">
      <formula>NOT(ISERROR(SEARCH("C",D45)))</formula>
    </cfRule>
    <cfRule type="containsText" dxfId="1178" priority="113" operator="containsText" text="B">
      <formula>NOT(ISERROR(SEARCH("B",D45)))</formula>
    </cfRule>
    <cfRule type="containsText" dxfId="1177" priority="114" operator="containsText" text="A">
      <formula>NOT(ISERROR(SEARCH("A",D45)))</formula>
    </cfRule>
  </conditionalFormatting>
  <conditionalFormatting sqref="C46:C47">
    <cfRule type="cellIs" dxfId="1176" priority="82" operator="equal">
      <formula>4</formula>
    </cfRule>
    <cfRule type="cellIs" dxfId="1175" priority="83" operator="equal">
      <formula>3</formula>
    </cfRule>
    <cfRule type="cellIs" dxfId="1174" priority="84" operator="equal">
      <formula>2</formula>
    </cfRule>
    <cfRule type="cellIs" dxfId="1173" priority="85" operator="equal">
      <formula>1</formula>
    </cfRule>
  </conditionalFormatting>
  <conditionalFormatting sqref="D46:D47">
    <cfRule type="containsText" dxfId="1172" priority="86" operator="containsText" text="G">
      <formula>NOT(ISERROR(SEARCH("G",D46)))</formula>
    </cfRule>
    <cfRule type="containsText" dxfId="1171" priority="87" operator="containsText" text="F">
      <formula>NOT(ISERROR(SEARCH("F",D46)))</formula>
    </cfRule>
    <cfRule type="containsText" dxfId="1170" priority="88" operator="containsText" text="E">
      <formula>NOT(ISERROR(SEARCH("E",D46)))</formula>
    </cfRule>
    <cfRule type="containsText" dxfId="1169" priority="89" operator="containsText" text="D">
      <formula>NOT(ISERROR(SEARCH("D",D46)))</formula>
    </cfRule>
    <cfRule type="containsText" dxfId="1168" priority="90" operator="containsText" text="C">
      <formula>NOT(ISERROR(SEARCH("C",D46)))</formula>
    </cfRule>
    <cfRule type="containsText" dxfId="1167" priority="91" operator="containsText" text="B">
      <formula>NOT(ISERROR(SEARCH("B",D46)))</formula>
    </cfRule>
    <cfRule type="containsText" dxfId="1166" priority="92" operator="containsText" text="A">
      <formula>NOT(ISERROR(SEARCH("A",D46)))</formula>
    </cfRule>
  </conditionalFormatting>
  <conditionalFormatting sqref="C48">
    <cfRule type="cellIs" dxfId="1165" priority="71" operator="equal">
      <formula>4</formula>
    </cfRule>
    <cfRule type="cellIs" dxfId="1164" priority="72" operator="equal">
      <formula>3</formula>
    </cfRule>
    <cfRule type="cellIs" dxfId="1163" priority="73" operator="equal">
      <formula>2</formula>
    </cfRule>
    <cfRule type="cellIs" dxfId="1162" priority="74" operator="equal">
      <formula>1</formula>
    </cfRule>
  </conditionalFormatting>
  <conditionalFormatting sqref="D48">
    <cfRule type="containsText" dxfId="1161" priority="75" operator="containsText" text="G">
      <formula>NOT(ISERROR(SEARCH("G",D48)))</formula>
    </cfRule>
    <cfRule type="containsText" dxfId="1160" priority="76" operator="containsText" text="F">
      <formula>NOT(ISERROR(SEARCH("F",D48)))</formula>
    </cfRule>
    <cfRule type="containsText" dxfId="1159" priority="77" operator="containsText" text="E">
      <formula>NOT(ISERROR(SEARCH("E",D48)))</formula>
    </cfRule>
    <cfRule type="containsText" dxfId="1158" priority="78" operator="containsText" text="D">
      <formula>NOT(ISERROR(SEARCH("D",D48)))</formula>
    </cfRule>
    <cfRule type="containsText" dxfId="1157" priority="79" operator="containsText" text="C">
      <formula>NOT(ISERROR(SEARCH("C",D48)))</formula>
    </cfRule>
    <cfRule type="containsText" dxfId="1156" priority="80" operator="containsText" text="B">
      <formula>NOT(ISERROR(SEARCH("B",D48)))</formula>
    </cfRule>
    <cfRule type="containsText" dxfId="1155" priority="81" operator="containsText" text="A">
      <formula>NOT(ISERROR(SEARCH("A",D48)))</formula>
    </cfRule>
  </conditionalFormatting>
  <conditionalFormatting sqref="C4">
    <cfRule type="cellIs" dxfId="1154" priority="67" operator="equal">
      <formula>4</formula>
    </cfRule>
    <cfRule type="cellIs" dxfId="1153" priority="68" operator="equal">
      <formula>3</formula>
    </cfRule>
    <cfRule type="cellIs" dxfId="1152" priority="69" operator="equal">
      <formula>2</formula>
    </cfRule>
    <cfRule type="cellIs" dxfId="1151" priority="70" operator="equal">
      <formula>1</formula>
    </cfRule>
  </conditionalFormatting>
  <conditionalFormatting sqref="D4">
    <cfRule type="containsText" dxfId="1150" priority="60" operator="containsText" text="G">
      <formula>NOT(ISERROR(SEARCH("G",D4)))</formula>
    </cfRule>
    <cfRule type="containsText" dxfId="1149" priority="61" operator="containsText" text="F">
      <formula>NOT(ISERROR(SEARCH("F",D4)))</formula>
    </cfRule>
    <cfRule type="containsText" dxfId="1148" priority="62" operator="containsText" text="E">
      <formula>NOT(ISERROR(SEARCH("E",D4)))</formula>
    </cfRule>
    <cfRule type="containsText" dxfId="1147" priority="63" operator="containsText" text="D">
      <formula>NOT(ISERROR(SEARCH("D",D4)))</formula>
    </cfRule>
    <cfRule type="containsText" dxfId="1146" priority="64" operator="containsText" text="C">
      <formula>NOT(ISERROR(SEARCH("C",D4)))</formula>
    </cfRule>
    <cfRule type="containsText" dxfId="1145" priority="65" operator="containsText" text="B">
      <formula>NOT(ISERROR(SEARCH("B",D4)))</formula>
    </cfRule>
    <cfRule type="containsText" dxfId="1144" priority="66" operator="containsText" text="A">
      <formula>NOT(ISERROR(SEARCH("A",D4)))</formula>
    </cfRule>
  </conditionalFormatting>
  <conditionalFormatting sqref="C37">
    <cfRule type="cellIs" dxfId="1143" priority="56" operator="equal">
      <formula>4</formula>
    </cfRule>
    <cfRule type="cellIs" dxfId="1142" priority="57" operator="equal">
      <formula>3</formula>
    </cfRule>
    <cfRule type="cellIs" dxfId="1141" priority="58" operator="equal">
      <formula>2</formula>
    </cfRule>
    <cfRule type="cellIs" dxfId="1140" priority="59" operator="equal">
      <formula>1</formula>
    </cfRule>
  </conditionalFormatting>
  <conditionalFormatting sqref="C11">
    <cfRule type="cellIs" dxfId="1139" priority="45" operator="equal">
      <formula>4</formula>
    </cfRule>
    <cfRule type="cellIs" dxfId="1138" priority="46" operator="equal">
      <formula>3</formula>
    </cfRule>
    <cfRule type="cellIs" dxfId="1137" priority="47" operator="equal">
      <formula>2</formula>
    </cfRule>
    <cfRule type="cellIs" dxfId="1136" priority="48" operator="equal">
      <formula>1</formula>
    </cfRule>
  </conditionalFormatting>
  <conditionalFormatting sqref="D11">
    <cfRule type="containsText" dxfId="1135" priority="49" operator="containsText" text="G">
      <formula>NOT(ISERROR(SEARCH("G",D11)))</formula>
    </cfRule>
    <cfRule type="containsText" dxfId="1134" priority="50" operator="containsText" text="F">
      <formula>NOT(ISERROR(SEARCH("F",D11)))</formula>
    </cfRule>
    <cfRule type="containsText" dxfId="1133" priority="51" operator="containsText" text="E">
      <formula>NOT(ISERROR(SEARCH("E",D11)))</formula>
    </cfRule>
    <cfRule type="containsText" dxfId="1132" priority="52" operator="containsText" text="D">
      <formula>NOT(ISERROR(SEARCH("D",D11)))</formula>
    </cfRule>
    <cfRule type="containsText" dxfId="1131" priority="53" operator="containsText" text="C">
      <formula>NOT(ISERROR(SEARCH("C",D11)))</formula>
    </cfRule>
    <cfRule type="containsText" dxfId="1130" priority="54" operator="containsText" text="B">
      <formula>NOT(ISERROR(SEARCH("B",D11)))</formula>
    </cfRule>
    <cfRule type="containsText" dxfId="1129" priority="55" operator="containsText" text="A">
      <formula>NOT(ISERROR(SEARCH("A",D11)))</formula>
    </cfRule>
  </conditionalFormatting>
  <conditionalFormatting sqref="C10">
    <cfRule type="cellIs" dxfId="1128" priority="34" operator="equal">
      <formula>4</formula>
    </cfRule>
    <cfRule type="cellIs" dxfId="1127" priority="35" operator="equal">
      <formula>3</formula>
    </cfRule>
    <cfRule type="cellIs" dxfId="1126" priority="36" operator="equal">
      <formula>2</formula>
    </cfRule>
    <cfRule type="cellIs" dxfId="1125" priority="37" operator="equal">
      <formula>1</formula>
    </cfRule>
  </conditionalFormatting>
  <conditionalFormatting sqref="D10">
    <cfRule type="containsText" dxfId="1124" priority="38" operator="containsText" text="G">
      <formula>NOT(ISERROR(SEARCH("G",D10)))</formula>
    </cfRule>
    <cfRule type="containsText" dxfId="1123" priority="39" operator="containsText" text="F">
      <formula>NOT(ISERROR(SEARCH("F",D10)))</formula>
    </cfRule>
    <cfRule type="containsText" dxfId="1122" priority="40" operator="containsText" text="E">
      <formula>NOT(ISERROR(SEARCH("E",D10)))</formula>
    </cfRule>
    <cfRule type="containsText" dxfId="1121" priority="41" operator="containsText" text="D">
      <formula>NOT(ISERROR(SEARCH("D",D10)))</formula>
    </cfRule>
    <cfRule type="containsText" dxfId="1120" priority="42" operator="containsText" text="C">
      <formula>NOT(ISERROR(SEARCH("C",D10)))</formula>
    </cfRule>
    <cfRule type="containsText" dxfId="1119" priority="43" operator="containsText" text="B">
      <formula>NOT(ISERROR(SEARCH("B",D10)))</formula>
    </cfRule>
    <cfRule type="containsText" dxfId="1118" priority="44" operator="containsText" text="A">
      <formula>NOT(ISERROR(SEARCH("A",D10)))</formula>
    </cfRule>
  </conditionalFormatting>
  <conditionalFormatting sqref="C18">
    <cfRule type="cellIs" dxfId="1117" priority="23" operator="equal">
      <formula>4</formula>
    </cfRule>
    <cfRule type="cellIs" dxfId="1116" priority="24" operator="equal">
      <formula>3</formula>
    </cfRule>
    <cfRule type="cellIs" dxfId="1115" priority="25" operator="equal">
      <formula>2</formula>
    </cfRule>
    <cfRule type="cellIs" dxfId="1114" priority="26" operator="equal">
      <formula>1</formula>
    </cfRule>
  </conditionalFormatting>
  <conditionalFormatting sqref="D18">
    <cfRule type="containsText" dxfId="1113" priority="27" operator="containsText" text="G">
      <formula>NOT(ISERROR(SEARCH("G",D18)))</formula>
    </cfRule>
    <cfRule type="containsText" dxfId="1112" priority="28" operator="containsText" text="F">
      <formula>NOT(ISERROR(SEARCH("F",D18)))</formula>
    </cfRule>
    <cfRule type="containsText" dxfId="1111" priority="29" operator="containsText" text="E">
      <formula>NOT(ISERROR(SEARCH("E",D18)))</formula>
    </cfRule>
    <cfRule type="containsText" dxfId="1110" priority="30" operator="containsText" text="D">
      <formula>NOT(ISERROR(SEARCH("D",D18)))</formula>
    </cfRule>
    <cfRule type="containsText" dxfId="1109" priority="31" operator="containsText" text="C">
      <formula>NOT(ISERROR(SEARCH("C",D18)))</formula>
    </cfRule>
    <cfRule type="containsText" dxfId="1108" priority="32" operator="containsText" text="B">
      <formula>NOT(ISERROR(SEARCH("B",D18)))</formula>
    </cfRule>
    <cfRule type="containsText" dxfId="1107" priority="33" operator="containsText" text="A">
      <formula>NOT(ISERROR(SEARCH("A",D18)))</formula>
    </cfRule>
  </conditionalFormatting>
  <conditionalFormatting sqref="C19">
    <cfRule type="cellIs" dxfId="1106" priority="12" operator="equal">
      <formula>4</formula>
    </cfRule>
    <cfRule type="cellIs" dxfId="1105" priority="13" operator="equal">
      <formula>3</formula>
    </cfRule>
    <cfRule type="cellIs" dxfId="1104" priority="14" operator="equal">
      <formula>2</formula>
    </cfRule>
    <cfRule type="cellIs" dxfId="1103" priority="15" operator="equal">
      <formula>1</formula>
    </cfRule>
  </conditionalFormatting>
  <conditionalFormatting sqref="D19">
    <cfRule type="containsText" dxfId="1102" priority="16" operator="containsText" text="G">
      <formula>NOT(ISERROR(SEARCH("G",D19)))</formula>
    </cfRule>
    <cfRule type="containsText" dxfId="1101" priority="17" operator="containsText" text="F">
      <formula>NOT(ISERROR(SEARCH("F",D19)))</formula>
    </cfRule>
    <cfRule type="containsText" dxfId="1100" priority="18" operator="containsText" text="E">
      <formula>NOT(ISERROR(SEARCH("E",D19)))</formula>
    </cfRule>
    <cfRule type="containsText" dxfId="1099" priority="19" operator="containsText" text="D">
      <formula>NOT(ISERROR(SEARCH("D",D19)))</formula>
    </cfRule>
    <cfRule type="containsText" dxfId="1098" priority="20" operator="containsText" text="C">
      <formula>NOT(ISERROR(SEARCH("C",D19)))</formula>
    </cfRule>
    <cfRule type="containsText" dxfId="1097" priority="21" operator="containsText" text="B">
      <formula>NOT(ISERROR(SEARCH("B",D19)))</formula>
    </cfRule>
    <cfRule type="containsText" dxfId="1096" priority="22" operator="containsText" text="A">
      <formula>NOT(ISERROR(SEARCH("A",D19)))</formula>
    </cfRule>
  </conditionalFormatting>
  <conditionalFormatting sqref="C20">
    <cfRule type="cellIs" dxfId="1095" priority="1" operator="equal">
      <formula>4</formula>
    </cfRule>
    <cfRule type="cellIs" dxfId="1094" priority="2" operator="equal">
      <formula>3</formula>
    </cfRule>
    <cfRule type="cellIs" dxfId="1093" priority="3" operator="equal">
      <formula>2</formula>
    </cfRule>
    <cfRule type="cellIs" dxfId="1092" priority="4" operator="equal">
      <formula>1</formula>
    </cfRule>
  </conditionalFormatting>
  <conditionalFormatting sqref="D20">
    <cfRule type="containsText" dxfId="1091" priority="5" operator="containsText" text="G">
      <formula>NOT(ISERROR(SEARCH("G",D20)))</formula>
    </cfRule>
    <cfRule type="containsText" dxfId="1090" priority="6" operator="containsText" text="F">
      <formula>NOT(ISERROR(SEARCH("F",D20)))</formula>
    </cfRule>
    <cfRule type="containsText" dxfId="1089" priority="7" operator="containsText" text="E">
      <formula>NOT(ISERROR(SEARCH("E",D20)))</formula>
    </cfRule>
    <cfRule type="containsText" dxfId="1088" priority="8" operator="containsText" text="D">
      <formula>NOT(ISERROR(SEARCH("D",D20)))</formula>
    </cfRule>
    <cfRule type="containsText" dxfId="1087" priority="9" operator="containsText" text="C">
      <formula>NOT(ISERROR(SEARCH("C",D20)))</formula>
    </cfRule>
    <cfRule type="containsText" dxfId="1086" priority="10" operator="containsText" text="B">
      <formula>NOT(ISERROR(SEARCH("B",D20)))</formula>
    </cfRule>
    <cfRule type="containsText" dxfId="1085" priority="11" operator="containsText" text="A">
      <formula>NOT(ISERROR(SEARCH("A",D20)))</formula>
    </cfRule>
  </conditionalFormatting>
  <pageMargins left="1.2" right="0.2" top="0.25" bottom="0.2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01"/>
  <sheetViews>
    <sheetView topLeftCell="A36" workbookViewId="0">
      <selection activeCell="I34" sqref="I34"/>
    </sheetView>
  </sheetViews>
  <sheetFormatPr defaultColWidth="14.42578125" defaultRowHeight="15" customHeight="1"/>
  <cols>
    <col min="1" max="1" width="22.140625" bestFit="1" customWidth="1"/>
    <col min="2" max="2" width="9.85546875" customWidth="1"/>
    <col min="3" max="3" width="10.28515625" bestFit="1" customWidth="1"/>
    <col min="4" max="4" width="10.28515625" customWidth="1"/>
    <col min="5" max="5" width="12.140625" customWidth="1"/>
    <col min="6" max="6" width="12.85546875" customWidth="1"/>
    <col min="7" max="7" width="12.85546875" bestFit="1" customWidth="1"/>
    <col min="8" max="8" width="11.140625" hidden="1" customWidth="1"/>
    <col min="10" max="10" width="17.42578125" bestFit="1" customWidth="1"/>
  </cols>
  <sheetData>
    <row r="1" spans="1:9" ht="35.25">
      <c r="A1" s="269" t="s">
        <v>131</v>
      </c>
      <c r="B1" s="281"/>
      <c r="C1" s="54" t="s">
        <v>132</v>
      </c>
      <c r="D1" s="9" t="s">
        <v>35</v>
      </c>
      <c r="E1" s="10">
        <f>G3+G15+G26+F38+G41+G52</f>
        <v>73.8</v>
      </c>
      <c r="F1" s="11" t="s">
        <v>36</v>
      </c>
      <c r="G1" s="170">
        <f>G5+G17+G28+G38+G43+G54</f>
        <v>65</v>
      </c>
      <c r="H1" s="183">
        <f>(H4+H5+H6+H7+H8+H9+H10+H11+H17+H18+H19+H20+H21+H22+H23+H16+H28+H29+H30+H31+H32+H33+H34+H27+H42+H38+H45+H46+H47+H48+H49+H53+H43+H44+H56+H57+H58+H59+H60+H54+H55)/41</f>
        <v>0.67073170731707343</v>
      </c>
      <c r="I1" s="108"/>
    </row>
    <row r="2" spans="1:9" ht="20.25">
      <c r="A2" s="271" t="s">
        <v>2</v>
      </c>
      <c r="B2" s="273"/>
      <c r="C2" s="273"/>
      <c r="D2" s="273"/>
      <c r="E2" s="263" t="str">
        <f>A1</f>
        <v>ISAAC</v>
      </c>
      <c r="F2" s="14" t="s">
        <v>37</v>
      </c>
      <c r="G2" s="55" t="s">
        <v>38</v>
      </c>
      <c r="H2" s="282" t="s">
        <v>39</v>
      </c>
    </row>
    <row r="3" spans="1:9" ht="26.25">
      <c r="A3" s="109" t="s">
        <v>0</v>
      </c>
      <c r="B3" s="131" t="s">
        <v>40</v>
      </c>
      <c r="C3" s="132" t="s">
        <v>41</v>
      </c>
      <c r="D3" s="133" t="s">
        <v>42</v>
      </c>
      <c r="E3" s="134" t="s">
        <v>43</v>
      </c>
      <c r="F3" s="17">
        <f>SUM(E4:E12)</f>
        <v>0.79999999999999982</v>
      </c>
      <c r="G3" s="56">
        <f>10+F3+F5+F11</f>
        <v>12.200000000000001</v>
      </c>
      <c r="H3" s="275"/>
    </row>
    <row r="4" spans="1:9" ht="15.75">
      <c r="A4" s="23" t="s">
        <v>53</v>
      </c>
      <c r="B4" s="24">
        <v>1</v>
      </c>
      <c r="C4" s="25">
        <v>2</v>
      </c>
      <c r="D4" s="140" t="s">
        <v>47</v>
      </c>
      <c r="E4" s="172">
        <f t="shared" ref="E4" si="0">IF(D4="F",0.6,IF(D4="C",0.3,IF(D4="D",0.4,IF(D4="E",0.5,IF(D4="A",0.1,IF(D4="G",0.7,IF(D4="H",0.8,IF(D4="B",0.2,""))))))))</f>
        <v>0.1</v>
      </c>
      <c r="F4" s="20" t="s">
        <v>48</v>
      </c>
      <c r="G4" s="57" t="s">
        <v>49</v>
      </c>
      <c r="H4" s="58">
        <v>0.1</v>
      </c>
    </row>
    <row r="5" spans="1:9" ht="15.75">
      <c r="A5" s="23" t="s">
        <v>93</v>
      </c>
      <c r="B5" s="24">
        <v>14</v>
      </c>
      <c r="C5" s="30">
        <v>2</v>
      </c>
      <c r="D5" s="140" t="s">
        <v>51</v>
      </c>
      <c r="E5" s="172">
        <f>IF(D5="F",0.6,IF(D5="C",0.3,IF(D5="D",0.4,IF(D5="E",0.5,IF(D5="A",0.1,IF(D5="G",0.7,IF(D5="H",0.8,IF(D5="B",0.2,""))))))))</f>
        <v>0.2</v>
      </c>
      <c r="F5" s="26">
        <v>1.4</v>
      </c>
      <c r="G5" s="59">
        <f>G3-1.5</f>
        <v>10.700000000000001</v>
      </c>
      <c r="H5" s="58">
        <v>0.5</v>
      </c>
    </row>
    <row r="6" spans="1:9" ht="15.75">
      <c r="A6" s="23" t="s">
        <v>50</v>
      </c>
      <c r="B6" s="24">
        <v>9</v>
      </c>
      <c r="C6" s="34">
        <v>4</v>
      </c>
      <c r="D6" s="107" t="s">
        <v>51</v>
      </c>
      <c r="E6" s="172">
        <f>IF(D6="F",0.6,IF(D6="C",0.3,IF(D6="D",0.4,IF(D6="E",0.5,IF(D6="A",0.1,IF(D6="G",0.7,IF(D6="H",0.8,IF(D6="B",0.2,""))))))))</f>
        <v>0.2</v>
      </c>
      <c r="F6" s="31"/>
      <c r="G6" s="60"/>
      <c r="H6" s="58">
        <v>0.7</v>
      </c>
    </row>
    <row r="7" spans="1:9" ht="15.75">
      <c r="A7" s="23" t="s">
        <v>133</v>
      </c>
      <c r="B7" s="29">
        <v>79</v>
      </c>
      <c r="C7" s="34">
        <v>1</v>
      </c>
      <c r="D7" s="107" t="s">
        <v>47</v>
      </c>
      <c r="E7" s="172">
        <f>IF(D7="F",0.6,IF(D7="C",0.3,IF(D7="D",0.4,IF(D7="E",0.5,IF(D7="A",0.1,IF(D7="G",0.7,IF(D7="H",0.8,IF(D7="B",0.2,""))))))))</f>
        <v>0.1</v>
      </c>
      <c r="F7" s="31"/>
      <c r="G7" s="60"/>
      <c r="H7" s="58">
        <v>0.6</v>
      </c>
    </row>
    <row r="8" spans="1:9" ht="15.75">
      <c r="A8" s="124" t="s">
        <v>52</v>
      </c>
      <c r="B8" s="24">
        <v>61</v>
      </c>
      <c r="C8" s="35">
        <v>1</v>
      </c>
      <c r="D8" s="173" t="s">
        <v>47</v>
      </c>
      <c r="E8" s="172">
        <f>IF(D8="F",0.6,IF(D8="C",0.3,IF(D8="D",0.4,IF(D8="E",0.5,IF(D8="A",0.1,IF(D8="G",0.7,IF(D8="H",0.8,IF(D8="B",0.2,""))))))))</f>
        <v>0.1</v>
      </c>
      <c r="F8" s="31"/>
      <c r="G8" s="60"/>
      <c r="H8" s="58">
        <v>0.85</v>
      </c>
    </row>
    <row r="9" spans="1:9" ht="15.75">
      <c r="A9" s="23" t="s">
        <v>134</v>
      </c>
      <c r="B9" s="29">
        <v>13</v>
      </c>
      <c r="C9" s="35">
        <v>2</v>
      </c>
      <c r="D9" s="171" t="s">
        <v>47</v>
      </c>
      <c r="E9" s="172">
        <f>IF(D9="F",0.6,IF(D9="C",0.3,IF(D9="D",0.4,IF(D9="E",0.5,IF(D9="A",0.1,IF(D9="G",0.7,IF(D9="H",0.8,IF(D9="B",0.2,""))))))))</f>
        <v>0.1</v>
      </c>
      <c r="F9" s="31"/>
      <c r="G9" s="60"/>
      <c r="H9" s="58">
        <v>0.85</v>
      </c>
    </row>
    <row r="10" spans="1:9" ht="15.75">
      <c r="A10" s="23" t="s">
        <v>107</v>
      </c>
      <c r="B10" s="24">
        <v>13</v>
      </c>
      <c r="C10" s="35">
        <v>3</v>
      </c>
      <c r="D10" s="173" t="s">
        <v>47</v>
      </c>
      <c r="E10" s="172">
        <f t="shared" ref="E10:E11" si="1">IF(D10="F",0.6,IF(D10="C",0.3,IF(D10="D",0.4,IF(D10="E",0.5,IF(D10="A",0.1,IF(D10="G",0.7,IF(D10="H",0.8,IF(D10="B",0.2,""))))))))</f>
        <v>0.1</v>
      </c>
      <c r="F10" s="61" t="s">
        <v>115</v>
      </c>
      <c r="G10" s="60"/>
      <c r="H10" s="58">
        <v>0.9</v>
      </c>
    </row>
    <row r="11" spans="1:9" ht="15.75">
      <c r="A11" s="23" t="s">
        <v>57</v>
      </c>
      <c r="B11" s="122">
        <v>2</v>
      </c>
      <c r="C11" s="35">
        <v>3</v>
      </c>
      <c r="D11" s="140" t="s">
        <v>51</v>
      </c>
      <c r="E11" s="172">
        <f t="shared" si="1"/>
        <v>0.2</v>
      </c>
      <c r="F11" s="62"/>
      <c r="G11" s="60"/>
      <c r="H11" s="58">
        <v>0.9</v>
      </c>
    </row>
    <row r="12" spans="1:9" ht="15.75" customHeight="1">
      <c r="B12" s="37"/>
      <c r="E12" s="262">
        <v>-0.3</v>
      </c>
      <c r="F12" s="284" t="s">
        <v>135</v>
      </c>
      <c r="G12" s="285"/>
      <c r="H12" s="58"/>
    </row>
    <row r="13" spans="1:9">
      <c r="B13" s="37"/>
      <c r="F13" s="31"/>
      <c r="G13" s="60"/>
      <c r="H13" s="261"/>
    </row>
    <row r="14" spans="1:9" ht="20.25">
      <c r="A14" s="271" t="s">
        <v>58</v>
      </c>
      <c r="B14" s="272"/>
      <c r="C14" s="272"/>
      <c r="D14" s="272"/>
      <c r="E14" s="263" t="str">
        <f>A1</f>
        <v>ISAAC</v>
      </c>
      <c r="F14" s="14" t="s">
        <v>37</v>
      </c>
      <c r="G14" s="55" t="s">
        <v>38</v>
      </c>
      <c r="H14" s="279" t="s">
        <v>39</v>
      </c>
    </row>
    <row r="15" spans="1:9" ht="26.25">
      <c r="A15" s="109" t="s">
        <v>0</v>
      </c>
      <c r="B15" s="131" t="s">
        <v>40</v>
      </c>
      <c r="C15" s="132" t="s">
        <v>41</v>
      </c>
      <c r="D15" s="133" t="s">
        <v>42</v>
      </c>
      <c r="E15" s="134" t="s">
        <v>43</v>
      </c>
      <c r="F15" s="17">
        <f>SUM(E16:E21)</f>
        <v>0.6</v>
      </c>
      <c r="G15" s="56">
        <f>10+F15+F17+F23</f>
        <v>11.799999999999999</v>
      </c>
      <c r="H15" s="275"/>
    </row>
    <row r="16" spans="1:9">
      <c r="A16" s="23" t="s">
        <v>62</v>
      </c>
      <c r="B16" s="29">
        <v>1</v>
      </c>
      <c r="C16" s="35">
        <v>1</v>
      </c>
      <c r="D16" s="171" t="s">
        <v>47</v>
      </c>
      <c r="E16" s="172">
        <f>IF(D16="F",0.6,IF(D16="C",0.3,IF(D16="D",0.4,IF(D16="E",0.5,IF(D16="A",0.1,IF(D16="G",0.7,IF(D16="H",0.8,IF(D16="B",0.2,""))))))))</f>
        <v>0.1</v>
      </c>
      <c r="F16" s="20" t="s">
        <v>48</v>
      </c>
      <c r="G16" s="57" t="s">
        <v>49</v>
      </c>
      <c r="H16" s="58">
        <v>0.2</v>
      </c>
    </row>
    <row r="17" spans="1:8">
      <c r="A17" s="23" t="s">
        <v>63</v>
      </c>
      <c r="B17" s="29">
        <v>1</v>
      </c>
      <c r="C17" s="25">
        <v>2</v>
      </c>
      <c r="D17" s="107" t="s">
        <v>47</v>
      </c>
      <c r="E17" s="172">
        <f t="shared" ref="E17" si="2">IF(D17="F",0.6,IF(D17="C",0.3,IF(D17="D",0.4,IF(D17="E",0.5,IF(D17="A",0.1,IF(D17="G",0.7,IF(D17="H",0.8,IF(D17="B",0.2,""))))))))</f>
        <v>0.1</v>
      </c>
      <c r="F17" s="26">
        <v>1.2</v>
      </c>
      <c r="G17" s="59">
        <f>G15-1.5</f>
        <v>10.299999999999999</v>
      </c>
      <c r="H17" s="58">
        <v>0.4</v>
      </c>
    </row>
    <row r="18" spans="1:8" ht="15.75">
      <c r="A18" s="23" t="s">
        <v>64</v>
      </c>
      <c r="B18" s="29">
        <v>1</v>
      </c>
      <c r="C18" s="25">
        <v>3</v>
      </c>
      <c r="D18" s="140" t="s">
        <v>47</v>
      </c>
      <c r="E18" s="172">
        <f>IF(D18="F",0.6,IF(D18="C",0.3,IF(D18="D",0.4,IF(D18="E",0.5,IF(D18="A",0.1,IF(D18="G",0.7,IF(D18="H",0.8,IF(D18="B",0.2,""))))))))</f>
        <v>0.1</v>
      </c>
      <c r="F18" s="31"/>
      <c r="G18" s="60"/>
      <c r="H18" s="58">
        <v>0.25</v>
      </c>
    </row>
    <row r="19" spans="1:8" ht="15.75">
      <c r="A19" s="23" t="s">
        <v>59</v>
      </c>
      <c r="B19" s="29">
        <v>7</v>
      </c>
      <c r="C19" s="34">
        <v>2</v>
      </c>
      <c r="D19" s="184" t="s">
        <v>47</v>
      </c>
      <c r="E19" s="172">
        <f>IF(D19="F",0.6,IF(D19="C",0.3,IF(D19="D",0.4,IF(D19="E",0.5,IF(D19="A",0.1,IF(D19="G",0.7,IF(D19="H",0.8,IF(D19="B",0.2,""))))))))</f>
        <v>0.1</v>
      </c>
      <c r="G19" s="60"/>
      <c r="H19" s="58">
        <v>0.1</v>
      </c>
    </row>
    <row r="20" spans="1:8" ht="15.75">
      <c r="A20" s="23" t="s">
        <v>60</v>
      </c>
      <c r="B20" s="29">
        <v>25</v>
      </c>
      <c r="C20" s="35">
        <v>2</v>
      </c>
      <c r="D20" s="25" t="s">
        <v>47</v>
      </c>
      <c r="E20" s="172">
        <f>IF(D20="F",0.6,IF(D20="C",0.3,IF(D20="D",0.4,IF(D20="E",0.5,IF(D20="A",0.1,IF(D20="G",0.7,IF(D20="H",0.8,IF(D20="B",0.2,""))))))))</f>
        <v>0.1</v>
      </c>
      <c r="F20" s="31"/>
      <c r="G20" s="60"/>
      <c r="H20" s="58">
        <v>0.85</v>
      </c>
    </row>
    <row r="21" spans="1:8" ht="15.75">
      <c r="A21" s="135" t="s">
        <v>65</v>
      </c>
      <c r="B21" s="139">
        <v>1</v>
      </c>
      <c r="C21" s="202">
        <v>4</v>
      </c>
      <c r="D21" s="215" t="s">
        <v>47</v>
      </c>
      <c r="E21" s="203">
        <f>IF(D21="F",0.6,IF(D21="C",0.3,IF(D21="D",0.4,IF(D21="E",0.5,IF(D21="A",0.1,IF(D21="G",0.7,IF(D21="H",0.8,IF(D21="B",0.2,""))))))))</f>
        <v>0.1</v>
      </c>
      <c r="F21" s="90"/>
      <c r="G21" s="60"/>
      <c r="H21" s="58">
        <v>0.05</v>
      </c>
    </row>
    <row r="22" spans="1:8" ht="15.75" customHeight="1">
      <c r="E22" s="108"/>
      <c r="F22" s="61" t="s">
        <v>115</v>
      </c>
      <c r="G22" s="152"/>
      <c r="H22" s="58">
        <v>0.7</v>
      </c>
    </row>
    <row r="23" spans="1:8" ht="15.75" customHeight="1">
      <c r="E23" s="108"/>
      <c r="F23" s="62"/>
      <c r="G23" s="152"/>
      <c r="H23" s="58">
        <v>0.9</v>
      </c>
    </row>
    <row r="24" spans="1:8" ht="15.75" customHeight="1">
      <c r="A24" s="31"/>
      <c r="B24" s="63"/>
      <c r="C24" s="31"/>
      <c r="D24" s="31"/>
      <c r="E24" s="31"/>
      <c r="F24" s="90"/>
      <c r="G24" s="60"/>
      <c r="H24" s="64"/>
    </row>
    <row r="25" spans="1:8" ht="15.75" customHeight="1">
      <c r="A25" s="271" t="s">
        <v>66</v>
      </c>
      <c r="B25" s="272"/>
      <c r="C25" s="272"/>
      <c r="D25" s="272"/>
      <c r="E25" s="263" t="str">
        <f>A1</f>
        <v>ISAAC</v>
      </c>
      <c r="F25" s="14" t="s">
        <v>37</v>
      </c>
      <c r="G25" s="55" t="s">
        <v>38</v>
      </c>
      <c r="H25" s="279" t="s">
        <v>39</v>
      </c>
    </row>
    <row r="26" spans="1:8" ht="26.25">
      <c r="A26" s="109" t="s">
        <v>0</v>
      </c>
      <c r="B26" s="131" t="s">
        <v>40</v>
      </c>
      <c r="C26" s="132" t="s">
        <v>41</v>
      </c>
      <c r="D26" s="133" t="s">
        <v>42</v>
      </c>
      <c r="E26" s="134" t="s">
        <v>43</v>
      </c>
      <c r="F26" s="17">
        <f>SUM(E27:E34)</f>
        <v>1.5</v>
      </c>
      <c r="G26" s="56">
        <f>10+F26+F28+F34</f>
        <v>12.8</v>
      </c>
      <c r="H26" s="275"/>
    </row>
    <row r="27" spans="1:8" ht="15.75" customHeight="1">
      <c r="A27" s="23" t="s">
        <v>136</v>
      </c>
      <c r="B27" s="29">
        <v>68</v>
      </c>
      <c r="C27" s="35">
        <v>3</v>
      </c>
      <c r="D27" s="171" t="s">
        <v>51</v>
      </c>
      <c r="E27" s="172">
        <f>IF(D27="F",0.6,IF(D27="C",0.3,IF(D27="D",0.4,IF(D27="E",0.5,IF(D27="A",0.1,IF(D27="G",0.7,IF(D27="H",0.8,IF(D27="B",0.2,""))))))))</f>
        <v>0.2</v>
      </c>
      <c r="F27" s="20" t="s">
        <v>48</v>
      </c>
      <c r="G27" s="57" t="s">
        <v>49</v>
      </c>
      <c r="H27" s="58">
        <v>0.5</v>
      </c>
    </row>
    <row r="28" spans="1:8" ht="15.75" customHeight="1">
      <c r="A28" s="23" t="s">
        <v>137</v>
      </c>
      <c r="B28" s="29">
        <v>68</v>
      </c>
      <c r="C28" s="30">
        <v>2</v>
      </c>
      <c r="D28" s="140" t="s">
        <v>100</v>
      </c>
      <c r="E28" s="172">
        <f t="shared" ref="E28" si="3">IF(D28="F",0.6,IF(D28="C",0.3,IF(D28="D",0.4,IF(D28="E",0.5,IF(D28="A",0.1,IF(D28="G",0.7,IF(D28="H",0.8,IF(D28="B",0.2,""))))))))</f>
        <v>0.3</v>
      </c>
      <c r="F28" s="26">
        <v>1.3</v>
      </c>
      <c r="G28" s="59">
        <f>G26-1.5</f>
        <v>11.3</v>
      </c>
      <c r="H28" s="58">
        <v>0.9</v>
      </c>
    </row>
    <row r="29" spans="1:8" ht="15.75" customHeight="1">
      <c r="A29" s="23" t="s">
        <v>138</v>
      </c>
      <c r="B29" s="29">
        <v>7</v>
      </c>
      <c r="C29" s="25">
        <v>2</v>
      </c>
      <c r="D29" s="107" t="s">
        <v>47</v>
      </c>
      <c r="E29" s="172">
        <f>IF(D29="F",0.6,IF(D29="C",0.3,IF(D29="D",0.4,IF(D29="E",0.5,IF(D29="A",0.1,IF(D29="G",0.7,IF(D29="H",0.8,IF(D29="B",0.2,""))))))))</f>
        <v>0.1</v>
      </c>
      <c r="F29" s="31"/>
      <c r="G29" s="60"/>
      <c r="H29" s="58">
        <v>0.9</v>
      </c>
    </row>
    <row r="30" spans="1:8" ht="15.75" customHeight="1">
      <c r="A30" s="23" t="s">
        <v>70</v>
      </c>
      <c r="B30" s="29">
        <v>31</v>
      </c>
      <c r="C30" s="30">
        <v>1</v>
      </c>
      <c r="D30" s="140" t="s">
        <v>47</v>
      </c>
      <c r="E30" s="172">
        <f>IF(D30="F",0.6,IF(D30="C",0.3,IF(D30="D",0.4,IF(D30="E",0.5,IF(D30="A",0.1,IF(D30="G",0.7,IF(D30="H",0.8,IF(D30="B",0.2,""))))))))</f>
        <v>0.1</v>
      </c>
      <c r="F30" s="31"/>
      <c r="G30" s="60"/>
      <c r="H30" s="58">
        <v>0.9</v>
      </c>
    </row>
    <row r="31" spans="1:8" ht="15.75" customHeight="1">
      <c r="A31" s="23" t="s">
        <v>123</v>
      </c>
      <c r="B31" s="29">
        <v>1</v>
      </c>
      <c r="C31" s="25">
        <v>2</v>
      </c>
      <c r="D31" s="140" t="s">
        <v>47</v>
      </c>
      <c r="E31" s="172">
        <f>IF(D31="F",0.6,IF(D31="C",0.3,IF(D31="D",0.4,IF(D31="E",0.5,IF(D31="A",0.1,IF(D31="G",0.7,IF(D31="H",0.8,IF(D31="B",0.2,""))))))))</f>
        <v>0.1</v>
      </c>
      <c r="F31" s="31"/>
      <c r="G31" s="60"/>
      <c r="H31" s="58">
        <v>0.85</v>
      </c>
    </row>
    <row r="32" spans="1:8" ht="15.75" customHeight="1">
      <c r="A32" s="23" t="s">
        <v>124</v>
      </c>
      <c r="B32" s="29">
        <v>26</v>
      </c>
      <c r="C32" s="34">
        <v>2</v>
      </c>
      <c r="D32" s="107" t="s">
        <v>51</v>
      </c>
      <c r="E32" s="172">
        <f>IF(D32="F",0.6,IF(D32="C",0.3,IF(D32="D",0.4,IF(D32="E",0.5,IF(D32="A",0.1,IF(D32="G",0.7,IF(D32="H",0.8,IF(D32="B",0.2,""))))))))</f>
        <v>0.2</v>
      </c>
      <c r="F32" s="31"/>
      <c r="G32" s="60"/>
      <c r="H32" s="58">
        <v>0.8</v>
      </c>
    </row>
    <row r="33" spans="1:15" ht="15.75" customHeight="1">
      <c r="A33" s="23" t="s">
        <v>139</v>
      </c>
      <c r="B33" s="29">
        <v>62</v>
      </c>
      <c r="C33" s="35">
        <v>1</v>
      </c>
      <c r="D33" s="173" t="s">
        <v>100</v>
      </c>
      <c r="E33" s="172">
        <f>IF(D33="F",0.6,IF(D33="C",0.3,IF(D33="D",0.4,IF(D33="E",0.5,IF(D33="A",0.1,IF(D33="G",0.7,IF(D33="H",0.8,IF(D33="B",0.2,""))))))))</f>
        <v>0.3</v>
      </c>
      <c r="F33" s="61" t="s">
        <v>115</v>
      </c>
      <c r="G33" s="60"/>
      <c r="H33" s="58">
        <v>0.2</v>
      </c>
    </row>
    <row r="34" spans="1:15" ht="15.75" customHeight="1">
      <c r="A34" s="23" t="s">
        <v>103</v>
      </c>
      <c r="B34" s="29">
        <v>32</v>
      </c>
      <c r="C34" s="35">
        <v>4</v>
      </c>
      <c r="D34" s="140" t="s">
        <v>51</v>
      </c>
      <c r="E34" s="172">
        <f t="shared" ref="E34" si="4">IF(D34="F",0.6,IF(D34="C",0.3,IF(D34="D",0.4,IF(D34="E",0.5,IF(D34="A",0.1,IF(D34="G",0.7,IF(D34="H",0.8,IF(D34="B",0.2,""))))))))</f>
        <v>0.2</v>
      </c>
      <c r="F34" s="62"/>
      <c r="G34" s="60"/>
      <c r="H34" s="58">
        <v>0.4</v>
      </c>
    </row>
    <row r="35" spans="1:15" ht="15.75" customHeight="1">
      <c r="B35" s="37"/>
      <c r="F35" s="31"/>
      <c r="G35" s="60"/>
      <c r="H35" s="64"/>
    </row>
    <row r="36" spans="1:15" ht="15.75" customHeight="1">
      <c r="A36" s="271" t="s">
        <v>75</v>
      </c>
      <c r="B36" s="272"/>
      <c r="C36" s="273" t="str">
        <f>A1</f>
        <v>ISAAC</v>
      </c>
      <c r="D36" s="270"/>
      <c r="E36" s="31"/>
      <c r="G36" s="90"/>
      <c r="H36" s="276" t="s">
        <v>39</v>
      </c>
    </row>
    <row r="37" spans="1:15" ht="29.25" customHeight="1">
      <c r="A37" s="103" t="s">
        <v>0</v>
      </c>
      <c r="B37" s="104" t="s">
        <v>40</v>
      </c>
      <c r="C37" s="105" t="s">
        <v>41</v>
      </c>
      <c r="D37" s="106" t="s">
        <v>42</v>
      </c>
      <c r="E37" s="14" t="s">
        <v>37</v>
      </c>
      <c r="F37" s="130" t="s">
        <v>76</v>
      </c>
      <c r="G37" s="21" t="s">
        <v>49</v>
      </c>
      <c r="H37" s="283"/>
    </row>
    <row r="38" spans="1:15" ht="15.75" customHeight="1">
      <c r="A38" s="43" t="s">
        <v>77</v>
      </c>
      <c r="B38" s="29">
        <v>308</v>
      </c>
      <c r="C38" s="35">
        <v>3</v>
      </c>
      <c r="D38" s="44">
        <v>2</v>
      </c>
      <c r="E38" s="99"/>
      <c r="F38" s="70">
        <f>10+D38</f>
        <v>12</v>
      </c>
      <c r="G38" s="27">
        <f>F38-1.3</f>
        <v>10.7</v>
      </c>
      <c r="H38" s="141">
        <v>0.5</v>
      </c>
    </row>
    <row r="39" spans="1:15" s="94" customFormat="1" ht="15.75" customHeight="1">
      <c r="A39" s="100"/>
      <c r="B39" s="101"/>
      <c r="C39" s="100"/>
      <c r="D39" s="102"/>
      <c r="E39" s="95"/>
      <c r="F39" s="96"/>
      <c r="G39" s="97"/>
      <c r="H39" s="98"/>
    </row>
    <row r="40" spans="1:15" ht="15.75" customHeight="1">
      <c r="A40" s="271" t="s">
        <v>78</v>
      </c>
      <c r="B40" s="272"/>
      <c r="C40" s="272"/>
      <c r="D40" s="272"/>
      <c r="E40" s="263" t="str">
        <f>A1</f>
        <v>ISAAC</v>
      </c>
      <c r="F40" s="14" t="s">
        <v>37</v>
      </c>
      <c r="G40" s="55" t="s">
        <v>38</v>
      </c>
      <c r="H40" s="279" t="s">
        <v>39</v>
      </c>
    </row>
    <row r="41" spans="1:15" ht="27.75" customHeight="1">
      <c r="A41" s="103" t="s">
        <v>0</v>
      </c>
      <c r="B41" s="104" t="s">
        <v>40</v>
      </c>
      <c r="C41" s="105" t="s">
        <v>41</v>
      </c>
      <c r="D41" s="106" t="s">
        <v>42</v>
      </c>
      <c r="E41" s="151" t="s">
        <v>43</v>
      </c>
      <c r="F41" s="149">
        <f>SUM(E42:E48)</f>
        <v>1.0000000000000002</v>
      </c>
      <c r="G41" s="56">
        <f>10+F41+F43+F49</f>
        <v>12.2</v>
      </c>
      <c r="H41" s="275"/>
    </row>
    <row r="42" spans="1:15" ht="15.75" customHeight="1">
      <c r="A42" s="23" t="s">
        <v>79</v>
      </c>
      <c r="B42" s="24">
        <v>73</v>
      </c>
      <c r="C42" s="35">
        <v>3</v>
      </c>
      <c r="D42" s="171" t="s">
        <v>47</v>
      </c>
      <c r="E42" s="172">
        <f>IF(D42="F",0.6,IF(D42="C",0.3,IF(D42="D",0.4,IF(D42="E",0.5,IF(D42="A",0.1,IF(D42="G",0.7,IF(D42="H",0.8,IF(D42="B",0.2,""))))))))</f>
        <v>0.1</v>
      </c>
      <c r="F42" s="20" t="s">
        <v>48</v>
      </c>
      <c r="G42" s="147" t="s">
        <v>49</v>
      </c>
      <c r="H42" s="58">
        <v>0.85</v>
      </c>
      <c r="J42" s="108"/>
      <c r="K42" s="108"/>
      <c r="L42" s="108"/>
      <c r="M42" s="108"/>
      <c r="N42" s="108"/>
    </row>
    <row r="43" spans="1:15" ht="15.75" customHeight="1">
      <c r="A43" s="45" t="s">
        <v>82</v>
      </c>
      <c r="B43" s="46">
        <v>7</v>
      </c>
      <c r="C43" s="35">
        <v>2</v>
      </c>
      <c r="D43" s="173" t="s">
        <v>47</v>
      </c>
      <c r="E43" s="172">
        <f>IF(D43="F",0.6,IF(D43="C",0.3,IF(D43="D",0.4,IF(D43="E",0.5,IF(D43="A",0.1,IF(D43="G",0.7,IF(D43="H",0.8,IF(D43="B",0.2,""))))))))</f>
        <v>0.1</v>
      </c>
      <c r="F43" s="26">
        <v>1.2</v>
      </c>
      <c r="G43" s="148">
        <f>G41-1.5</f>
        <v>10.7</v>
      </c>
      <c r="H43" s="58">
        <v>0.85</v>
      </c>
      <c r="I43" s="108"/>
      <c r="J43" s="230"/>
      <c r="K43" s="231"/>
      <c r="L43" s="230"/>
      <c r="M43" s="230"/>
      <c r="N43" s="232"/>
      <c r="O43" s="108"/>
    </row>
    <row r="44" spans="1:15" ht="15.75" customHeight="1">
      <c r="A44" s="45" t="s">
        <v>83</v>
      </c>
      <c r="B44" s="46">
        <v>8</v>
      </c>
      <c r="C44" s="35">
        <v>2</v>
      </c>
      <c r="D44" s="173" t="s">
        <v>51</v>
      </c>
      <c r="E44" s="172">
        <f>IF(D44="F",0.6,IF(D44="C",0.3,IF(D44="D",0.4,IF(D44="E",0.5,IF(D44="A",0.1,IF(D44="G",0.7,IF(D44="H",0.8,IF(D44="B",0.2,""))))))))</f>
        <v>0.2</v>
      </c>
      <c r="F44" s="90"/>
      <c r="G44" s="60"/>
      <c r="H44" s="58">
        <v>0.7</v>
      </c>
      <c r="J44" s="108"/>
      <c r="K44" s="108"/>
      <c r="L44" s="108"/>
      <c r="M44" s="108"/>
      <c r="N44" s="108"/>
    </row>
    <row r="45" spans="1:15" ht="15.75" customHeight="1">
      <c r="A45" s="135" t="s">
        <v>128</v>
      </c>
      <c r="B45" s="139">
        <v>116</v>
      </c>
      <c r="C45" s="34">
        <v>3</v>
      </c>
      <c r="D45" s="107" t="s">
        <v>51</v>
      </c>
      <c r="E45" s="172">
        <f>IF(D45="F",0.6,IF(D45="C",0.3,IF(D45="D",0.4,IF(D45="E",0.5,IF(D45="A",0.1,IF(D45="G",0.7,IF(D45="H",0.8,IF(D45="B",0.2,""))))))))</f>
        <v>0.2</v>
      </c>
      <c r="F45" s="90"/>
      <c r="G45" s="60"/>
      <c r="H45" s="58">
        <v>0.7</v>
      </c>
    </row>
    <row r="46" spans="1:15" ht="15.75" customHeight="1">
      <c r="A46" s="45" t="s">
        <v>140</v>
      </c>
      <c r="B46" s="46">
        <v>97</v>
      </c>
      <c r="C46" s="35">
        <v>3</v>
      </c>
      <c r="D46" s="173" t="s">
        <v>47</v>
      </c>
      <c r="E46" s="172">
        <f>IF(D46="F",0.6,IF(D46="C",0.3,IF(D46="D",0.4,IF(D46="E",0.5,IF(D46="A",0.1,IF(D46="G",0.7,IF(D46="H",0.8,IF(D46="B",0.2,""))))))))</f>
        <v>0.1</v>
      </c>
      <c r="F46" s="90"/>
      <c r="G46" s="60"/>
      <c r="H46" s="58">
        <v>0.85</v>
      </c>
    </row>
    <row r="47" spans="1:15" ht="15.75" customHeight="1">
      <c r="A47" s="23" t="s">
        <v>141</v>
      </c>
      <c r="B47" s="24">
        <v>38</v>
      </c>
      <c r="C47" s="25">
        <v>1</v>
      </c>
      <c r="D47" s="185" t="s">
        <v>51</v>
      </c>
      <c r="E47" s="172">
        <f>IF(D47="F",0.6,IF(D47="C",0.3,IF(D47="D",0.4,IF(D47="E",0.5,IF(D47="A",0.1,IF(D47="G",0.7,IF(D47="H",0.8,IF(D47="B",0.2,""))))))))</f>
        <v>0.2</v>
      </c>
      <c r="F47" s="90"/>
      <c r="G47" s="60"/>
      <c r="H47" s="58">
        <v>0.85</v>
      </c>
    </row>
    <row r="48" spans="1:15" ht="15.75" customHeight="1">
      <c r="A48" s="23" t="s">
        <v>84</v>
      </c>
      <c r="B48" s="24">
        <v>43</v>
      </c>
      <c r="C48" s="35">
        <v>4</v>
      </c>
      <c r="D48" s="140" t="s">
        <v>47</v>
      </c>
      <c r="E48" s="172">
        <f t="shared" ref="E48" si="5">IF(D48="F",0.6,IF(D48="C",0.3,IF(D48="D",0.4,IF(D48="E",0.5,IF(D48="A",0.1,IF(D48="G",0.7,IF(D48="H",0.8,IF(D48="B",0.2,""))))))))</f>
        <v>0.1</v>
      </c>
      <c r="F48" s="61" t="s">
        <v>115</v>
      </c>
      <c r="G48" s="152"/>
      <c r="H48" s="58">
        <v>0.85</v>
      </c>
    </row>
    <row r="49" spans="1:8" ht="15.75" customHeight="1">
      <c r="F49" s="62"/>
      <c r="G49" s="152"/>
      <c r="H49" s="58">
        <v>0.75</v>
      </c>
    </row>
    <row r="50" spans="1:8" ht="15.75" customHeight="1">
      <c r="B50" s="37"/>
      <c r="F50" s="90"/>
      <c r="G50" s="60"/>
      <c r="H50" s="64"/>
    </row>
    <row r="51" spans="1:8" ht="15.75" customHeight="1">
      <c r="A51" s="271" t="s">
        <v>7</v>
      </c>
      <c r="B51" s="272"/>
      <c r="C51" s="272"/>
      <c r="D51" s="272"/>
      <c r="E51" s="263" t="str">
        <f>A1</f>
        <v>ISAAC</v>
      </c>
      <c r="F51" s="14" t="s">
        <v>37</v>
      </c>
      <c r="G51" s="55" t="s">
        <v>38</v>
      </c>
      <c r="H51" s="279" t="s">
        <v>39</v>
      </c>
    </row>
    <row r="52" spans="1:8" ht="30.75" customHeight="1">
      <c r="A52" s="109" t="s">
        <v>0</v>
      </c>
      <c r="B52" s="131" t="s">
        <v>40</v>
      </c>
      <c r="C52" s="132" t="s">
        <v>41</v>
      </c>
      <c r="D52" s="66" t="s">
        <v>42</v>
      </c>
      <c r="E52" s="113" t="s">
        <v>43</v>
      </c>
      <c r="F52" s="17">
        <f>SUM(E53:E60)</f>
        <v>1.3</v>
      </c>
      <c r="G52" s="56">
        <f>10+F52+F54+F60</f>
        <v>12.8</v>
      </c>
      <c r="H52" s="275"/>
    </row>
    <row r="53" spans="1:8" ht="15.75" customHeight="1">
      <c r="A53" s="23" t="s">
        <v>142</v>
      </c>
      <c r="B53" s="29">
        <v>58</v>
      </c>
      <c r="C53" s="35">
        <v>2</v>
      </c>
      <c r="D53" s="171" t="s">
        <v>119</v>
      </c>
      <c r="E53" s="172">
        <f>IF(D53="F",0.6,IF(D53="C",0.3,IF(D53="D",0.4,IF(D53="E",0.5,IF(D53="A",0.1,IF(D53="G",0.7,IF(D53="H",0.8,IF(D53="B",0.2,""))))))))</f>
        <v>0.4</v>
      </c>
      <c r="F53" s="20" t="s">
        <v>48</v>
      </c>
      <c r="G53" s="57" t="s">
        <v>49</v>
      </c>
      <c r="H53" s="58">
        <v>0.6</v>
      </c>
    </row>
    <row r="54" spans="1:8" ht="15.75" customHeight="1">
      <c r="A54" s="23" t="s">
        <v>143</v>
      </c>
      <c r="B54" s="24">
        <v>1</v>
      </c>
      <c r="C54" s="25">
        <v>3</v>
      </c>
      <c r="D54" s="107" t="s">
        <v>47</v>
      </c>
      <c r="E54" s="172">
        <f t="shared" ref="E54:E60" si="6">IF(D54="F",0.6,IF(D54="C",0.3,IF(D54="D",0.4,IF(D54="E",0.5,IF(D54="A",0.1,IF(D54="G",0.7,IF(D54="H",0.8,IF(D54="B",0.2,""))))))))</f>
        <v>0.1</v>
      </c>
      <c r="F54" s="26">
        <v>1.5</v>
      </c>
      <c r="G54" s="59">
        <f>G52-1.5</f>
        <v>11.3</v>
      </c>
      <c r="H54" s="58">
        <v>0.85</v>
      </c>
    </row>
    <row r="55" spans="1:8" ht="15.75" customHeight="1">
      <c r="A55" s="23" t="s">
        <v>144</v>
      </c>
      <c r="B55" s="29">
        <v>13</v>
      </c>
      <c r="C55" s="30">
        <v>1</v>
      </c>
      <c r="D55" s="140" t="s">
        <v>47</v>
      </c>
      <c r="E55" s="172">
        <f t="shared" si="6"/>
        <v>0.1</v>
      </c>
      <c r="F55" s="31"/>
      <c r="G55" s="60"/>
      <c r="H55" s="58">
        <v>0.85</v>
      </c>
    </row>
    <row r="56" spans="1:8" ht="15.75" customHeight="1">
      <c r="A56" s="23" t="s">
        <v>145</v>
      </c>
      <c r="B56" s="24">
        <v>32</v>
      </c>
      <c r="C56" s="25">
        <v>3</v>
      </c>
      <c r="D56" s="140" t="s">
        <v>51</v>
      </c>
      <c r="E56" s="172">
        <f t="shared" si="6"/>
        <v>0.2</v>
      </c>
      <c r="F56" s="31"/>
      <c r="G56" s="60"/>
      <c r="H56" s="58">
        <v>0.85</v>
      </c>
    </row>
    <row r="57" spans="1:8" ht="15.75" customHeight="1">
      <c r="A57" s="23" t="s">
        <v>86</v>
      </c>
      <c r="B57" s="24">
        <v>7</v>
      </c>
      <c r="C57" s="34">
        <v>1</v>
      </c>
      <c r="D57" s="107" t="s">
        <v>47</v>
      </c>
      <c r="E57" s="172">
        <f t="shared" si="6"/>
        <v>0.1</v>
      </c>
      <c r="F57" s="31"/>
      <c r="G57" s="60"/>
      <c r="H57" s="58">
        <v>0.85</v>
      </c>
    </row>
    <row r="58" spans="1:8" ht="15.75" customHeight="1">
      <c r="A58" s="23" t="s">
        <v>87</v>
      </c>
      <c r="B58" s="122">
        <v>13</v>
      </c>
      <c r="C58" s="35">
        <v>1</v>
      </c>
      <c r="D58" s="173" t="s">
        <v>47</v>
      </c>
      <c r="E58" s="172">
        <f t="shared" si="6"/>
        <v>0.1</v>
      </c>
      <c r="F58" s="31"/>
      <c r="G58" s="60"/>
      <c r="H58" s="58">
        <v>0.9</v>
      </c>
    </row>
    <row r="59" spans="1:8" ht="15.75" customHeight="1">
      <c r="A59" s="45" t="s">
        <v>101</v>
      </c>
      <c r="B59" s="46">
        <v>25</v>
      </c>
      <c r="C59" s="35">
        <v>3</v>
      </c>
      <c r="D59" s="173" t="s">
        <v>47</v>
      </c>
      <c r="E59" s="172">
        <f t="shared" si="6"/>
        <v>0.1</v>
      </c>
      <c r="F59" s="61" t="s">
        <v>115</v>
      </c>
      <c r="G59" s="60"/>
      <c r="H59" s="58">
        <v>0.9</v>
      </c>
    </row>
    <row r="60" spans="1:8" ht="15.75" customHeight="1">
      <c r="A60" s="23" t="s">
        <v>103</v>
      </c>
      <c r="B60" s="24">
        <v>32</v>
      </c>
      <c r="C60" s="35">
        <v>4</v>
      </c>
      <c r="D60" s="185" t="s">
        <v>51</v>
      </c>
      <c r="E60" s="204">
        <f t="shared" si="6"/>
        <v>0.2</v>
      </c>
      <c r="F60" s="62"/>
      <c r="G60" s="60"/>
      <c r="H60" s="58">
        <v>0.5</v>
      </c>
    </row>
    <row r="61" spans="1:8" ht="15.75" customHeight="1">
      <c r="A61" s="31"/>
      <c r="B61" s="48"/>
      <c r="C61" s="31"/>
      <c r="D61" s="31"/>
      <c r="E61" s="31"/>
      <c r="F61" s="31"/>
      <c r="G61" s="60"/>
      <c r="H61" s="64"/>
    </row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5">
    <mergeCell ref="A1:B1"/>
    <mergeCell ref="A14:D14"/>
    <mergeCell ref="A51:D51"/>
    <mergeCell ref="H51:H52"/>
    <mergeCell ref="A40:D40"/>
    <mergeCell ref="A36:B36"/>
    <mergeCell ref="C36:D36"/>
    <mergeCell ref="H2:H3"/>
    <mergeCell ref="H14:H15"/>
    <mergeCell ref="H25:H26"/>
    <mergeCell ref="H36:H37"/>
    <mergeCell ref="H40:H41"/>
    <mergeCell ref="A2:D2"/>
    <mergeCell ref="A25:D25"/>
    <mergeCell ref="F12:G12"/>
  </mergeCells>
  <conditionalFormatting sqref="A29:A32 A27 A16 A18:A21">
    <cfRule type="expression" dxfId="1084" priority="226">
      <formula>H:H&gt;=80</formula>
    </cfRule>
  </conditionalFormatting>
  <conditionalFormatting sqref="A36">
    <cfRule type="expression" dxfId="1083" priority="231">
      <formula>BW:BW&gt;=80</formula>
    </cfRule>
  </conditionalFormatting>
  <conditionalFormatting sqref="A53">
    <cfRule type="expression" dxfId="1082" priority="240">
      <formula>Q:Q&gt;=80</formula>
    </cfRule>
  </conditionalFormatting>
  <conditionalFormatting sqref="A45 A34">
    <cfRule type="expression" dxfId="1081" priority="230">
      <formula>G:G&gt;=80</formula>
    </cfRule>
  </conditionalFormatting>
  <conditionalFormatting sqref="C16:C21 C42:C45 C6 C10:C11 C8 C27 C29:C33">
    <cfRule type="cellIs" dxfId="1080" priority="217" operator="equal">
      <formula>4</formula>
    </cfRule>
    <cfRule type="cellIs" dxfId="1079" priority="218" operator="equal">
      <formula>3</formula>
    </cfRule>
    <cfRule type="cellIs" dxfId="1078" priority="219" operator="equal">
      <formula>2</formula>
    </cfRule>
    <cfRule type="cellIs" dxfId="1077" priority="220" operator="equal">
      <formula>1</formula>
    </cfRule>
  </conditionalFormatting>
  <conditionalFormatting sqref="C38">
    <cfRule type="cellIs" dxfId="1076" priority="162" operator="equal">
      <formula>4</formula>
    </cfRule>
    <cfRule type="cellIs" dxfId="1075" priority="163" operator="equal">
      <formula>3</formula>
    </cfRule>
    <cfRule type="cellIs" dxfId="1074" priority="164" operator="equal">
      <formula>2</formula>
    </cfRule>
    <cfRule type="cellIs" dxfId="1073" priority="165" operator="equal">
      <formula>1</formula>
    </cfRule>
  </conditionalFormatting>
  <conditionalFormatting sqref="C53:C59">
    <cfRule type="cellIs" dxfId="1072" priority="173" operator="equal">
      <formula>4</formula>
    </cfRule>
    <cfRule type="cellIs" dxfId="1071" priority="174" operator="equal">
      <formula>3</formula>
    </cfRule>
    <cfRule type="cellIs" dxfId="1070" priority="175" operator="equal">
      <formula>2</formula>
    </cfRule>
    <cfRule type="cellIs" dxfId="1069" priority="176" operator="equal">
      <formula>1</formula>
    </cfRule>
  </conditionalFormatting>
  <conditionalFormatting sqref="D16:D21 D42:D45 D6 D10:D11 D8 D27 D29:D33">
    <cfRule type="containsText" dxfId="1068" priority="210" operator="containsText" text="G">
      <formula>NOT(ISERROR(SEARCH("G",D6)))</formula>
    </cfRule>
    <cfRule type="containsText" dxfId="1067" priority="211" operator="containsText" text="F">
      <formula>NOT(ISERROR(SEARCH("F",D6)))</formula>
    </cfRule>
    <cfRule type="containsText" dxfId="1066" priority="212" operator="containsText" text="E">
      <formula>NOT(ISERROR(SEARCH("E",D6)))</formula>
    </cfRule>
    <cfRule type="containsText" dxfId="1065" priority="213" operator="containsText" text="D">
      <formula>NOT(ISERROR(SEARCH("D",D6)))</formula>
    </cfRule>
    <cfRule type="containsText" dxfId="1064" priority="214" operator="containsText" text="C">
      <formula>NOT(ISERROR(SEARCH("C",D6)))</formula>
    </cfRule>
    <cfRule type="containsText" dxfId="1063" priority="215" operator="containsText" text="B">
      <formula>NOT(ISERROR(SEARCH("B",D6)))</formula>
    </cfRule>
    <cfRule type="containsText" dxfId="1062" priority="216" operator="containsText" text="A">
      <formula>NOT(ISERROR(SEARCH("A",D6)))</formula>
    </cfRule>
  </conditionalFormatting>
  <conditionalFormatting sqref="D53:D59">
    <cfRule type="containsText" dxfId="1061" priority="166" operator="containsText" text="G">
      <formula>NOT(ISERROR(SEARCH("G",D53)))</formula>
    </cfRule>
    <cfRule type="containsText" dxfId="1060" priority="167" operator="containsText" text="F">
      <formula>NOT(ISERROR(SEARCH("F",D53)))</formula>
    </cfRule>
    <cfRule type="containsText" dxfId="1059" priority="168" operator="containsText" text="E">
      <formula>NOT(ISERROR(SEARCH("E",D53)))</formula>
    </cfRule>
    <cfRule type="containsText" dxfId="1058" priority="169" operator="containsText" text="D">
      <formula>NOT(ISERROR(SEARCH("D",D53)))</formula>
    </cfRule>
    <cfRule type="containsText" dxfId="1057" priority="170" operator="containsText" text="C">
      <formula>NOT(ISERROR(SEARCH("C",D53)))</formula>
    </cfRule>
    <cfRule type="containsText" dxfId="1056" priority="171" operator="containsText" text="B">
      <formula>NOT(ISERROR(SEARCH("B",D53)))</formula>
    </cfRule>
    <cfRule type="containsText" dxfId="1055" priority="172" operator="containsText" text="A">
      <formula>NOT(ISERROR(SEARCH("A",D53)))</formula>
    </cfRule>
  </conditionalFormatting>
  <conditionalFormatting sqref="G1:G11 H36:H39 G40:G61 G13:G35">
    <cfRule type="cellIs" dxfId="1054" priority="232" operator="between">
      <formula>0.7</formula>
      <formula>0.8</formula>
    </cfRule>
    <cfRule type="cellIs" dxfId="1053" priority="233" operator="between">
      <formula>0.8</formula>
      <formula>1</formula>
    </cfRule>
    <cfRule type="cellIs" dxfId="1052" priority="234" operator="between">
      <formula>69%</formula>
      <formula>0.01</formula>
    </cfRule>
  </conditionalFormatting>
  <conditionalFormatting sqref="H1">
    <cfRule type="cellIs" dxfId="1051" priority="156" operator="between">
      <formula>0.7</formula>
      <formula>0.8</formula>
    </cfRule>
    <cfRule type="cellIs" dxfId="1050" priority="157" operator="between">
      <formula>0.8</formula>
      <formula>1</formula>
    </cfRule>
    <cfRule type="cellIs" dxfId="1049" priority="158" operator="between">
      <formula>69%</formula>
      <formula>0.01</formula>
    </cfRule>
  </conditionalFormatting>
  <conditionalFormatting sqref="H1:H35">
    <cfRule type="cellIs" dxfId="1048" priority="159" stopIfTrue="1" operator="between">
      <formula>0.81</formula>
      <formula>1</formula>
    </cfRule>
    <cfRule type="cellIs" dxfId="1047" priority="160" stopIfTrue="1" operator="between">
      <formula>0.7</formula>
      <formula>0.8</formula>
    </cfRule>
    <cfRule type="cellIs" dxfId="1046" priority="161" stopIfTrue="1" operator="between">
      <formula>0.01</formula>
      <formula>0.69</formula>
    </cfRule>
  </conditionalFormatting>
  <conditionalFormatting sqref="H40:H61">
    <cfRule type="cellIs" dxfId="1045" priority="235" stopIfTrue="1" operator="between">
      <formula>0.81</formula>
      <formula>1</formula>
    </cfRule>
    <cfRule type="cellIs" dxfId="1044" priority="236" stopIfTrue="1" operator="between">
      <formula>0.7</formula>
      <formula>0.8</formula>
    </cfRule>
    <cfRule type="cellIs" dxfId="1043" priority="237" stopIfTrue="1" operator="between">
      <formula>0.01</formula>
      <formula>0.69</formula>
    </cfRule>
  </conditionalFormatting>
  <conditionalFormatting sqref="C34">
    <cfRule type="cellIs" dxfId="1042" priority="140" operator="equal">
      <formula>4</formula>
    </cfRule>
    <cfRule type="cellIs" dxfId="1041" priority="141" operator="equal">
      <formula>3</formula>
    </cfRule>
    <cfRule type="cellIs" dxfId="1040" priority="142" operator="equal">
      <formula>2</formula>
    </cfRule>
    <cfRule type="cellIs" dxfId="1039" priority="143" operator="equal">
      <formula>1</formula>
    </cfRule>
  </conditionalFormatting>
  <conditionalFormatting sqref="D34">
    <cfRule type="containsText" dxfId="1038" priority="133" operator="containsText" text="G">
      <formula>NOT(ISERROR(SEARCH("G",D34)))</formula>
    </cfRule>
    <cfRule type="containsText" dxfId="1037" priority="134" operator="containsText" text="F">
      <formula>NOT(ISERROR(SEARCH("F",D34)))</formula>
    </cfRule>
    <cfRule type="containsText" dxfId="1036" priority="135" operator="containsText" text="E">
      <formula>NOT(ISERROR(SEARCH("E",D34)))</formula>
    </cfRule>
    <cfRule type="containsText" dxfId="1035" priority="136" operator="containsText" text="D">
      <formula>NOT(ISERROR(SEARCH("D",D34)))</formula>
    </cfRule>
    <cfRule type="containsText" dxfId="1034" priority="137" operator="containsText" text="C">
      <formula>NOT(ISERROR(SEARCH("C",D34)))</formula>
    </cfRule>
    <cfRule type="containsText" dxfId="1033" priority="138" operator="containsText" text="B">
      <formula>NOT(ISERROR(SEARCH("B",D34)))</formula>
    </cfRule>
    <cfRule type="containsText" dxfId="1032" priority="139" operator="containsText" text="A">
      <formula>NOT(ISERROR(SEARCH("A",D34)))</formula>
    </cfRule>
  </conditionalFormatting>
  <conditionalFormatting sqref="C47">
    <cfRule type="cellIs" dxfId="1031" priority="129" operator="equal">
      <formula>4</formula>
    </cfRule>
    <cfRule type="cellIs" dxfId="1030" priority="130" operator="equal">
      <formula>3</formula>
    </cfRule>
    <cfRule type="cellIs" dxfId="1029" priority="131" operator="equal">
      <formula>2</formula>
    </cfRule>
    <cfRule type="cellIs" dxfId="1028" priority="132" operator="equal">
      <formula>1</formula>
    </cfRule>
  </conditionalFormatting>
  <conditionalFormatting sqref="D47">
    <cfRule type="containsText" dxfId="1027" priority="122" operator="containsText" text="G">
      <formula>NOT(ISERROR(SEARCH("G",D47)))</formula>
    </cfRule>
    <cfRule type="containsText" dxfId="1026" priority="123" operator="containsText" text="F">
      <formula>NOT(ISERROR(SEARCH("F",D47)))</formula>
    </cfRule>
    <cfRule type="containsText" dxfId="1025" priority="124" operator="containsText" text="E">
      <formula>NOT(ISERROR(SEARCH("E",D47)))</formula>
    </cfRule>
    <cfRule type="containsText" dxfId="1024" priority="125" operator="containsText" text="D">
      <formula>NOT(ISERROR(SEARCH("D",D47)))</formula>
    </cfRule>
    <cfRule type="containsText" dxfId="1023" priority="126" operator="containsText" text="C">
      <formula>NOT(ISERROR(SEARCH("C",D47)))</formula>
    </cfRule>
    <cfRule type="containsText" dxfId="1022" priority="127" operator="containsText" text="B">
      <formula>NOT(ISERROR(SEARCH("B",D47)))</formula>
    </cfRule>
    <cfRule type="containsText" dxfId="1021" priority="128" operator="containsText" text="A">
      <formula>NOT(ISERROR(SEARCH("A",D47)))</formula>
    </cfRule>
  </conditionalFormatting>
  <conditionalFormatting sqref="C48">
    <cfRule type="cellIs" dxfId="1020" priority="111" operator="equal">
      <formula>4</formula>
    </cfRule>
    <cfRule type="cellIs" dxfId="1019" priority="112" operator="equal">
      <formula>3</formula>
    </cfRule>
    <cfRule type="cellIs" dxfId="1018" priority="113" operator="equal">
      <formula>2</formula>
    </cfRule>
    <cfRule type="cellIs" dxfId="1017" priority="114" operator="equal">
      <formula>1</formula>
    </cfRule>
  </conditionalFormatting>
  <conditionalFormatting sqref="D48">
    <cfRule type="containsText" dxfId="1016" priority="115" operator="containsText" text="G">
      <formula>NOT(ISERROR(SEARCH("G",D48)))</formula>
    </cfRule>
    <cfRule type="containsText" dxfId="1015" priority="116" operator="containsText" text="F">
      <formula>NOT(ISERROR(SEARCH("F",D48)))</formula>
    </cfRule>
    <cfRule type="containsText" dxfId="1014" priority="117" operator="containsText" text="E">
      <formula>NOT(ISERROR(SEARCH("E",D48)))</formula>
    </cfRule>
    <cfRule type="containsText" dxfId="1013" priority="118" operator="containsText" text="D">
      <formula>NOT(ISERROR(SEARCH("D",D48)))</formula>
    </cfRule>
    <cfRule type="containsText" dxfId="1012" priority="119" operator="containsText" text="C">
      <formula>NOT(ISERROR(SEARCH("C",D48)))</formula>
    </cfRule>
    <cfRule type="containsText" dxfId="1011" priority="120" operator="containsText" text="B">
      <formula>NOT(ISERROR(SEARCH("B",D48)))</formula>
    </cfRule>
    <cfRule type="containsText" dxfId="1010" priority="121" operator="containsText" text="A">
      <formula>NOT(ISERROR(SEARCH("A",D48)))</formula>
    </cfRule>
  </conditionalFormatting>
  <conditionalFormatting sqref="C60">
    <cfRule type="cellIs" dxfId="1009" priority="107" operator="equal">
      <formula>4</formula>
    </cfRule>
    <cfRule type="cellIs" dxfId="1008" priority="108" operator="equal">
      <formula>3</formula>
    </cfRule>
    <cfRule type="cellIs" dxfId="1007" priority="109" operator="equal">
      <formula>2</formula>
    </cfRule>
    <cfRule type="cellIs" dxfId="1006" priority="110" operator="equal">
      <formula>1</formula>
    </cfRule>
  </conditionalFormatting>
  <conditionalFormatting sqref="D60">
    <cfRule type="containsText" dxfId="1005" priority="100" operator="containsText" text="G">
      <formula>NOT(ISERROR(SEARCH("G",D60)))</formula>
    </cfRule>
    <cfRule type="containsText" dxfId="1004" priority="101" operator="containsText" text="F">
      <formula>NOT(ISERROR(SEARCH("F",D60)))</formula>
    </cfRule>
    <cfRule type="containsText" dxfId="1003" priority="102" operator="containsText" text="E">
      <formula>NOT(ISERROR(SEARCH("E",D60)))</formula>
    </cfRule>
    <cfRule type="containsText" dxfId="1002" priority="103" operator="containsText" text="D">
      <formula>NOT(ISERROR(SEARCH("D",D60)))</formula>
    </cfRule>
    <cfRule type="containsText" dxfId="1001" priority="104" operator="containsText" text="C">
      <formula>NOT(ISERROR(SEARCH("C",D60)))</formula>
    </cfRule>
    <cfRule type="containsText" dxfId="1000" priority="105" operator="containsText" text="B">
      <formula>NOT(ISERROR(SEARCH("B",D60)))</formula>
    </cfRule>
    <cfRule type="containsText" dxfId="999" priority="106" operator="containsText" text="A">
      <formula>NOT(ISERROR(SEARCH("A",D60)))</formula>
    </cfRule>
  </conditionalFormatting>
  <conditionalFormatting sqref="C46">
    <cfRule type="cellIs" dxfId="998" priority="96" operator="equal">
      <formula>4</formula>
    </cfRule>
    <cfRule type="cellIs" dxfId="997" priority="97" operator="equal">
      <formula>3</formula>
    </cfRule>
    <cfRule type="cellIs" dxfId="996" priority="98" operator="equal">
      <formula>2</formula>
    </cfRule>
    <cfRule type="cellIs" dxfId="995" priority="99" operator="equal">
      <formula>1</formula>
    </cfRule>
  </conditionalFormatting>
  <conditionalFormatting sqref="D46">
    <cfRule type="containsText" dxfId="994" priority="89" operator="containsText" text="G">
      <formula>NOT(ISERROR(SEARCH("G",D46)))</formula>
    </cfRule>
    <cfRule type="containsText" dxfId="993" priority="90" operator="containsText" text="F">
      <formula>NOT(ISERROR(SEARCH("F",D46)))</formula>
    </cfRule>
    <cfRule type="containsText" dxfId="992" priority="91" operator="containsText" text="E">
      <formula>NOT(ISERROR(SEARCH("E",D46)))</formula>
    </cfRule>
    <cfRule type="containsText" dxfId="991" priority="92" operator="containsText" text="D">
      <formula>NOT(ISERROR(SEARCH("D",D46)))</formula>
    </cfRule>
    <cfRule type="containsText" dxfId="990" priority="93" operator="containsText" text="C">
      <formula>NOT(ISERROR(SEARCH("C",D46)))</formula>
    </cfRule>
    <cfRule type="containsText" dxfId="989" priority="94" operator="containsText" text="B">
      <formula>NOT(ISERROR(SEARCH("B",D46)))</formula>
    </cfRule>
    <cfRule type="containsText" dxfId="988" priority="95" operator="containsText" text="A">
      <formula>NOT(ISERROR(SEARCH("A",D46)))</formula>
    </cfRule>
  </conditionalFormatting>
  <conditionalFormatting sqref="C7">
    <cfRule type="cellIs" dxfId="987" priority="74" operator="equal">
      <formula>4</formula>
    </cfRule>
    <cfRule type="cellIs" dxfId="986" priority="75" operator="equal">
      <formula>3</formula>
    </cfRule>
    <cfRule type="cellIs" dxfId="985" priority="76" operator="equal">
      <formula>2</formula>
    </cfRule>
    <cfRule type="cellIs" dxfId="984" priority="77" operator="equal">
      <formula>1</formula>
    </cfRule>
  </conditionalFormatting>
  <conditionalFormatting sqref="D7">
    <cfRule type="containsText" dxfId="983" priority="67" operator="containsText" text="G">
      <formula>NOT(ISERROR(SEARCH("G",D7)))</formula>
    </cfRule>
    <cfRule type="containsText" dxfId="982" priority="68" operator="containsText" text="F">
      <formula>NOT(ISERROR(SEARCH("F",D7)))</formula>
    </cfRule>
    <cfRule type="containsText" dxfId="981" priority="69" operator="containsText" text="E">
      <formula>NOT(ISERROR(SEARCH("E",D7)))</formula>
    </cfRule>
    <cfRule type="containsText" dxfId="980" priority="70" operator="containsText" text="D">
      <formula>NOT(ISERROR(SEARCH("D",D7)))</formula>
    </cfRule>
    <cfRule type="containsText" dxfId="979" priority="71" operator="containsText" text="C">
      <formula>NOT(ISERROR(SEARCH("C",D7)))</formula>
    </cfRule>
    <cfRule type="containsText" dxfId="978" priority="72" operator="containsText" text="B">
      <formula>NOT(ISERROR(SEARCH("B",D7)))</formula>
    </cfRule>
    <cfRule type="containsText" dxfId="977" priority="73" operator="containsText" text="A">
      <formula>NOT(ISERROR(SEARCH("A",D7)))</formula>
    </cfRule>
  </conditionalFormatting>
  <conditionalFormatting sqref="L43">
    <cfRule type="cellIs" dxfId="976" priority="45" operator="equal">
      <formula>4</formula>
    </cfRule>
    <cfRule type="cellIs" dxfId="975" priority="46" operator="equal">
      <formula>3</formula>
    </cfRule>
    <cfRule type="cellIs" dxfId="974" priority="47" operator="equal">
      <formula>2</formula>
    </cfRule>
    <cfRule type="cellIs" dxfId="973" priority="48" operator="equal">
      <formula>1</formula>
    </cfRule>
  </conditionalFormatting>
  <conditionalFormatting sqref="M43">
    <cfRule type="containsText" dxfId="972" priority="49" operator="containsText" text="G">
      <formula>NOT(ISERROR(SEARCH("G",M43)))</formula>
    </cfRule>
    <cfRule type="containsText" dxfId="971" priority="50" operator="containsText" text="F">
      <formula>NOT(ISERROR(SEARCH("F",M43)))</formula>
    </cfRule>
    <cfRule type="containsText" dxfId="970" priority="51" operator="containsText" text="E">
      <formula>NOT(ISERROR(SEARCH("E",M43)))</formula>
    </cfRule>
    <cfRule type="containsText" dxfId="969" priority="52" operator="containsText" text="D">
      <formula>NOT(ISERROR(SEARCH("D",M43)))</formula>
    </cfRule>
    <cfRule type="containsText" dxfId="968" priority="53" operator="containsText" text="C">
      <formula>NOT(ISERROR(SEARCH("C",M43)))</formula>
    </cfRule>
    <cfRule type="containsText" dxfId="967" priority="54" operator="containsText" text="B">
      <formula>NOT(ISERROR(SEARCH("B",M43)))</formula>
    </cfRule>
    <cfRule type="containsText" dxfId="966" priority="55" operator="containsText" text="A">
      <formula>NOT(ISERROR(SEARCH("A",M43)))</formula>
    </cfRule>
  </conditionalFormatting>
  <conditionalFormatting sqref="C4">
    <cfRule type="cellIs" dxfId="965" priority="34" operator="equal">
      <formula>4</formula>
    </cfRule>
    <cfRule type="cellIs" dxfId="964" priority="35" operator="equal">
      <formula>3</formula>
    </cfRule>
    <cfRule type="cellIs" dxfId="963" priority="36" operator="equal">
      <formula>2</formula>
    </cfRule>
    <cfRule type="cellIs" dxfId="962" priority="37" operator="equal">
      <formula>1</formula>
    </cfRule>
  </conditionalFormatting>
  <conditionalFormatting sqref="D4">
    <cfRule type="containsText" dxfId="961" priority="38" operator="containsText" text="G">
      <formula>NOT(ISERROR(SEARCH("G",D4)))</formula>
    </cfRule>
    <cfRule type="containsText" dxfId="960" priority="39" operator="containsText" text="F">
      <formula>NOT(ISERROR(SEARCH("F",D4)))</formula>
    </cfRule>
    <cfRule type="containsText" dxfId="959" priority="40" operator="containsText" text="E">
      <formula>NOT(ISERROR(SEARCH("E",D4)))</formula>
    </cfRule>
    <cfRule type="containsText" dxfId="958" priority="41" operator="containsText" text="D">
      <formula>NOT(ISERROR(SEARCH("D",D4)))</formula>
    </cfRule>
    <cfRule type="containsText" dxfId="957" priority="42" operator="containsText" text="C">
      <formula>NOT(ISERROR(SEARCH("C",D4)))</formula>
    </cfRule>
    <cfRule type="containsText" dxfId="956" priority="43" operator="containsText" text="B">
      <formula>NOT(ISERROR(SEARCH("B",D4)))</formula>
    </cfRule>
    <cfRule type="containsText" dxfId="955" priority="44" operator="containsText" text="A">
      <formula>NOT(ISERROR(SEARCH("A",D4)))</formula>
    </cfRule>
  </conditionalFormatting>
  <conditionalFormatting sqref="C9">
    <cfRule type="cellIs" dxfId="954" priority="23" operator="equal">
      <formula>4</formula>
    </cfRule>
    <cfRule type="cellIs" dxfId="953" priority="24" operator="equal">
      <formula>3</formula>
    </cfRule>
    <cfRule type="cellIs" dxfId="952" priority="25" operator="equal">
      <formula>2</formula>
    </cfRule>
    <cfRule type="cellIs" dxfId="951" priority="26" operator="equal">
      <formula>1</formula>
    </cfRule>
  </conditionalFormatting>
  <conditionalFormatting sqref="D9">
    <cfRule type="containsText" dxfId="950" priority="27" operator="containsText" text="G">
      <formula>NOT(ISERROR(SEARCH("G",D9)))</formula>
    </cfRule>
    <cfRule type="containsText" dxfId="949" priority="28" operator="containsText" text="F">
      <formula>NOT(ISERROR(SEARCH("F",D9)))</formula>
    </cfRule>
    <cfRule type="containsText" dxfId="948" priority="29" operator="containsText" text="E">
      <formula>NOT(ISERROR(SEARCH("E",D9)))</formula>
    </cfRule>
    <cfRule type="containsText" dxfId="947" priority="30" operator="containsText" text="D">
      <formula>NOT(ISERROR(SEARCH("D",D9)))</formula>
    </cfRule>
    <cfRule type="containsText" dxfId="946" priority="31" operator="containsText" text="C">
      <formula>NOT(ISERROR(SEARCH("C",D9)))</formula>
    </cfRule>
    <cfRule type="containsText" dxfId="945" priority="32" operator="containsText" text="B">
      <formula>NOT(ISERROR(SEARCH("B",D9)))</formula>
    </cfRule>
    <cfRule type="containsText" dxfId="944" priority="33" operator="containsText" text="A">
      <formula>NOT(ISERROR(SEARCH("A",D9)))</formula>
    </cfRule>
  </conditionalFormatting>
  <conditionalFormatting sqref="C5">
    <cfRule type="cellIs" dxfId="943" priority="19" operator="equal">
      <formula>4</formula>
    </cfRule>
    <cfRule type="cellIs" dxfId="942" priority="20" operator="equal">
      <formula>3</formula>
    </cfRule>
    <cfRule type="cellIs" dxfId="941" priority="21" operator="equal">
      <formula>2</formula>
    </cfRule>
    <cfRule type="cellIs" dxfId="940" priority="22" operator="equal">
      <formula>1</formula>
    </cfRule>
  </conditionalFormatting>
  <conditionalFormatting sqref="D5">
    <cfRule type="containsText" dxfId="939" priority="12" operator="containsText" text="G">
      <formula>NOT(ISERROR(SEARCH("G",D5)))</formula>
    </cfRule>
    <cfRule type="containsText" dxfId="938" priority="13" operator="containsText" text="F">
      <formula>NOT(ISERROR(SEARCH("F",D5)))</formula>
    </cfRule>
    <cfRule type="containsText" dxfId="937" priority="14" operator="containsText" text="E">
      <formula>NOT(ISERROR(SEARCH("E",D5)))</formula>
    </cfRule>
    <cfRule type="containsText" dxfId="936" priority="15" operator="containsText" text="D">
      <formula>NOT(ISERROR(SEARCH("D",D5)))</formula>
    </cfRule>
    <cfRule type="containsText" dxfId="935" priority="16" operator="containsText" text="C">
      <formula>NOT(ISERROR(SEARCH("C",D5)))</formula>
    </cfRule>
    <cfRule type="containsText" dxfId="934" priority="17" operator="containsText" text="B">
      <formula>NOT(ISERROR(SEARCH("B",D5)))</formula>
    </cfRule>
    <cfRule type="containsText" dxfId="933" priority="18" operator="containsText" text="A">
      <formula>NOT(ISERROR(SEARCH("A",D5)))</formula>
    </cfRule>
  </conditionalFormatting>
  <conditionalFormatting sqref="C28">
    <cfRule type="cellIs" dxfId="932" priority="8" operator="equal">
      <formula>4</formula>
    </cfRule>
    <cfRule type="cellIs" dxfId="931" priority="9" operator="equal">
      <formula>3</formula>
    </cfRule>
    <cfRule type="cellIs" dxfId="930" priority="10" operator="equal">
      <formula>2</formula>
    </cfRule>
    <cfRule type="cellIs" dxfId="929" priority="11" operator="equal">
      <formula>1</formula>
    </cfRule>
  </conditionalFormatting>
  <conditionalFormatting sqref="D28">
    <cfRule type="containsText" dxfId="928" priority="1" operator="containsText" text="G">
      <formula>NOT(ISERROR(SEARCH("G",D28)))</formula>
    </cfRule>
    <cfRule type="containsText" dxfId="927" priority="2" operator="containsText" text="F">
      <formula>NOT(ISERROR(SEARCH("F",D28)))</formula>
    </cfRule>
    <cfRule type="containsText" dxfId="926" priority="3" operator="containsText" text="E">
      <formula>NOT(ISERROR(SEARCH("E",D28)))</formula>
    </cfRule>
    <cfRule type="containsText" dxfId="925" priority="4" operator="containsText" text="D">
      <formula>NOT(ISERROR(SEARCH("D",D28)))</formula>
    </cfRule>
    <cfRule type="containsText" dxfId="924" priority="5" operator="containsText" text="C">
      <formula>NOT(ISERROR(SEARCH("C",D28)))</formula>
    </cfRule>
    <cfRule type="containsText" dxfId="923" priority="6" operator="containsText" text="B">
      <formula>NOT(ISERROR(SEARCH("B",D28)))</formula>
    </cfRule>
    <cfRule type="containsText" dxfId="922" priority="7" operator="containsText" text="A">
      <formula>NOT(ISERROR(SEARCH("A",D28)))</formula>
    </cfRule>
  </conditionalFormatting>
  <printOptions horizontalCentered="1" verticalCentered="1"/>
  <pageMargins left="0.25" right="0.25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1"/>
  <sheetViews>
    <sheetView topLeftCell="A40" workbookViewId="0">
      <selection activeCell="A47" sqref="A47:E47"/>
    </sheetView>
  </sheetViews>
  <sheetFormatPr defaultColWidth="14.42578125" defaultRowHeight="15" customHeight="1"/>
  <cols>
    <col min="1" max="1" width="25.5703125" bestFit="1" customWidth="1"/>
    <col min="2" max="2" width="9.85546875" customWidth="1"/>
    <col min="3" max="3" width="10.28515625" bestFit="1" customWidth="1"/>
    <col min="4" max="4" width="10.28515625" customWidth="1"/>
    <col min="5" max="5" width="13.5703125" customWidth="1"/>
    <col min="6" max="6" width="12.85546875" customWidth="1"/>
    <col min="7" max="7" width="13" customWidth="1"/>
    <col min="8" max="8" width="10.7109375" hidden="1" customWidth="1"/>
    <col min="10" max="10" width="31" bestFit="1" customWidth="1"/>
  </cols>
  <sheetData>
    <row r="1" spans="1:9" ht="35.25">
      <c r="A1" s="269" t="s">
        <v>146</v>
      </c>
      <c r="B1" s="281"/>
      <c r="C1" s="54" t="s">
        <v>132</v>
      </c>
      <c r="D1" s="9" t="s">
        <v>35</v>
      </c>
      <c r="E1" s="10">
        <f>G3+G14+G25+G38+G43+G54</f>
        <v>70</v>
      </c>
      <c r="F1" s="11" t="s">
        <v>36</v>
      </c>
      <c r="G1" s="170">
        <f>G5+G16+G27+G38+G43+G54</f>
        <v>65.5</v>
      </c>
      <c r="H1" s="183">
        <f>(H4+H5+H6+H7+H8+H9+H10+H11+H16+H17+H18+H19+H20+H21+H22+H15+H27+H28+H29+H30+H31+H32+H33+H26+H42+H38+H45+H46+H47+H48+H49+H53+H43+H44+H56+H57+H58+H59+H60+H54+H55)/41</f>
        <v>0.72463414634146339</v>
      </c>
      <c r="I1" s="108"/>
    </row>
    <row r="2" spans="1:9" ht="20.25">
      <c r="A2" s="271" t="s">
        <v>2</v>
      </c>
      <c r="B2" s="272"/>
      <c r="C2" s="272"/>
      <c r="D2" s="272"/>
      <c r="E2" s="263" t="str">
        <f>A1</f>
        <v>CHAMPI</v>
      </c>
      <c r="F2" s="14" t="s">
        <v>37</v>
      </c>
      <c r="G2" s="55" t="s">
        <v>38</v>
      </c>
      <c r="H2" s="282" t="s">
        <v>39</v>
      </c>
    </row>
    <row r="3" spans="1:9" ht="24">
      <c r="A3" s="109" t="s">
        <v>0</v>
      </c>
      <c r="B3" s="110" t="s">
        <v>40</v>
      </c>
      <c r="C3" s="111" t="s">
        <v>41</v>
      </c>
      <c r="D3" s="112" t="s">
        <v>42</v>
      </c>
      <c r="E3" s="113" t="s">
        <v>43</v>
      </c>
      <c r="F3" s="17">
        <f>SUM(E4:E11)</f>
        <v>1.8</v>
      </c>
      <c r="G3" s="56">
        <f>10+F3+F5+F11</f>
        <v>13.4</v>
      </c>
      <c r="H3" s="275"/>
    </row>
    <row r="4" spans="1:9" ht="15.75">
      <c r="A4" s="23" t="s">
        <v>147</v>
      </c>
      <c r="B4" s="29">
        <v>3</v>
      </c>
      <c r="C4" s="35">
        <v>3</v>
      </c>
      <c r="D4" s="171" t="s">
        <v>100</v>
      </c>
      <c r="E4" s="172">
        <f>IF(D4="F",0.6,IF(D4="C",0.3,IF(D4="D",0.4,IF(D4="E",0.5,IF(D4="A",0.1,IF(D4="G",0.7,IF(D4="H",0.8,IF(D4="B",0.2,""))))))))</f>
        <v>0.3</v>
      </c>
      <c r="F4" s="20" t="s">
        <v>48</v>
      </c>
      <c r="G4" s="57" t="s">
        <v>49</v>
      </c>
      <c r="H4" s="58">
        <v>0.3</v>
      </c>
    </row>
    <row r="5" spans="1:9" ht="15.75">
      <c r="A5" s="23" t="s">
        <v>148</v>
      </c>
      <c r="B5" s="29">
        <v>10</v>
      </c>
      <c r="C5" s="35">
        <v>4</v>
      </c>
      <c r="D5" s="171" t="s">
        <v>119</v>
      </c>
      <c r="E5" s="172">
        <f>IF(D5="F",0.6,IF(D5="C",0.3,IF(D5="D",0.4,IF(D5="E",0.5,IF(D5="A",0.1,IF(D5="G",0.7,IF(D5="H",0.8,IF(D5="B",0.2,""))))))))</f>
        <v>0.4</v>
      </c>
      <c r="F5" s="26">
        <v>1.6</v>
      </c>
      <c r="G5" s="59">
        <f>G3-1.5</f>
        <v>11.9</v>
      </c>
      <c r="H5" s="58">
        <v>0.8</v>
      </c>
    </row>
    <row r="6" spans="1:9" ht="15.75">
      <c r="A6" s="91" t="s">
        <v>149</v>
      </c>
      <c r="B6" s="92">
        <v>14</v>
      </c>
      <c r="C6" s="30">
        <v>2</v>
      </c>
      <c r="D6" s="140" t="s">
        <v>51</v>
      </c>
      <c r="E6" s="172">
        <f t="shared" ref="E6" si="0">IF(D6="F",0.6,IF(D6="C",0.3,IF(D6="D",0.4,IF(D6="E",0.5,IF(D6="A",0.1,IF(D6="G",0.7,IF(D6="H",0.8,IF(D6="B",0.2,""))))))))</f>
        <v>0.2</v>
      </c>
      <c r="F6" s="31"/>
      <c r="G6" s="60"/>
      <c r="H6" s="58">
        <v>0.7</v>
      </c>
    </row>
    <row r="7" spans="1:9" ht="15.75">
      <c r="A7" s="191" t="s">
        <v>150</v>
      </c>
      <c r="B7" s="92">
        <v>2</v>
      </c>
      <c r="C7" s="35">
        <v>1</v>
      </c>
      <c r="D7" s="173" t="s">
        <v>51</v>
      </c>
      <c r="E7" s="172">
        <f>IF(D7="F",0.6,IF(D7="C",0.3,IF(D7="D",0.4,IF(D7="E",0.5,IF(D7="A",0.1,IF(D7="G",0.7,IF(D7="H",0.8,IF(D7="B",0.2,""))))))))</f>
        <v>0.2</v>
      </c>
      <c r="F7" s="31"/>
      <c r="G7" s="60"/>
      <c r="H7" s="58">
        <v>0.85</v>
      </c>
    </row>
    <row r="8" spans="1:9" ht="15.75">
      <c r="A8" s="124" t="s">
        <v>52</v>
      </c>
      <c r="B8" s="24">
        <v>61</v>
      </c>
      <c r="C8" s="35">
        <v>1</v>
      </c>
      <c r="D8" s="173" t="s">
        <v>47</v>
      </c>
      <c r="E8" s="172">
        <f t="shared" ref="E8" si="1">IF(D8="F",0.6,IF(D8="C",0.3,IF(D8="D",0.4,IF(D8="E",0.5,IF(D8="A",0.1,IF(D8="G",0.7,IF(D8="H",0.8,IF(D8="B",0.2,""))))))))</f>
        <v>0.1</v>
      </c>
      <c r="F8" s="31"/>
      <c r="G8" s="60"/>
      <c r="H8" s="58">
        <v>0.85</v>
      </c>
    </row>
    <row r="9" spans="1:9" ht="15.75">
      <c r="A9" s="91" t="s">
        <v>151</v>
      </c>
      <c r="B9" s="93">
        <v>9</v>
      </c>
      <c r="C9" s="25">
        <v>4</v>
      </c>
      <c r="D9" s="107" t="s">
        <v>100</v>
      </c>
      <c r="E9" s="172">
        <f>IF(D9="F",0.6,IF(D9="C",0.3,IF(D9="D",0.4,IF(D9="E",0.5,IF(D9="A",0.1,IF(D9="G",0.7,IF(D9="H",0.8,IF(D9="B",0.2,""))))))))</f>
        <v>0.3</v>
      </c>
      <c r="F9" s="31"/>
      <c r="G9" s="60"/>
      <c r="H9" s="58">
        <v>0.9</v>
      </c>
    </row>
    <row r="10" spans="1:9" ht="15.75">
      <c r="A10" s="23" t="s">
        <v>107</v>
      </c>
      <c r="B10" s="24">
        <v>13</v>
      </c>
      <c r="C10" s="25">
        <v>3</v>
      </c>
      <c r="D10" s="107" t="s">
        <v>47</v>
      </c>
      <c r="E10" s="172">
        <f>IF(D10="F",0.6,IF(D10="C",0.3,IF(D10="D",0.4,IF(D10="E",0.5,IF(D10="A",0.1,IF(D10="G",0.7,IF(D10="H",0.8,IF(D10="B",0.2,""))))))))</f>
        <v>0.1</v>
      </c>
      <c r="F10" s="61" t="s">
        <v>115</v>
      </c>
      <c r="G10" s="60"/>
      <c r="H10" s="58">
        <v>0.9</v>
      </c>
    </row>
    <row r="11" spans="1:9" ht="15.75">
      <c r="A11" s="23" t="s">
        <v>57</v>
      </c>
      <c r="B11" s="192">
        <v>2</v>
      </c>
      <c r="C11" s="35">
        <v>3</v>
      </c>
      <c r="D11" s="140" t="s">
        <v>51</v>
      </c>
      <c r="E11" s="172">
        <f>IF(D11="F",0.6,IF(D11="C",0.3,IF(D11="D",0.4,IF(D11="E",0.5,IF(D11="A",0.1,IF(D11="G",0.7,IF(D11="H",0.8,IF(D11="B",0.2,""))))))))</f>
        <v>0.2</v>
      </c>
      <c r="F11" s="62"/>
      <c r="G11" s="60"/>
      <c r="H11" s="58">
        <v>0.9</v>
      </c>
    </row>
    <row r="12" spans="1:9">
      <c r="B12" s="37"/>
      <c r="F12" s="31"/>
      <c r="G12" s="60"/>
      <c r="H12" s="58"/>
    </row>
    <row r="13" spans="1:9" ht="20.25">
      <c r="A13" s="271" t="s">
        <v>58</v>
      </c>
      <c r="B13" s="272"/>
      <c r="C13" s="272"/>
      <c r="D13" s="272"/>
      <c r="E13" s="263" t="str">
        <f>A1</f>
        <v>CHAMPI</v>
      </c>
      <c r="F13" s="14" t="s">
        <v>37</v>
      </c>
      <c r="G13" s="55" t="s">
        <v>38</v>
      </c>
      <c r="H13" s="279" t="s">
        <v>39</v>
      </c>
    </row>
    <row r="14" spans="1:9" ht="24">
      <c r="A14" s="109" t="s">
        <v>0</v>
      </c>
      <c r="B14" s="110" t="s">
        <v>40</v>
      </c>
      <c r="C14" s="111" t="s">
        <v>41</v>
      </c>
      <c r="D14" s="112" t="s">
        <v>42</v>
      </c>
      <c r="E14" s="113" t="s">
        <v>43</v>
      </c>
      <c r="F14" s="17">
        <f>SUM(E15:E22)</f>
        <v>0.6</v>
      </c>
      <c r="G14" s="56">
        <f>10+F14+F16+F22</f>
        <v>11.799999999999999</v>
      </c>
      <c r="H14" s="275"/>
    </row>
    <row r="15" spans="1:9">
      <c r="A15" s="23" t="s">
        <v>62</v>
      </c>
      <c r="B15" s="29">
        <v>1</v>
      </c>
      <c r="C15" s="35">
        <v>1</v>
      </c>
      <c r="D15" s="171" t="s">
        <v>47</v>
      </c>
      <c r="E15" s="172">
        <f>IF(D15="F",0.6,IF(D15="C",0.3,IF(D15="D",0.4,IF(D15="E",0.5,IF(D15="A",0.1,IF(D15="G",0.7,IF(D15="H",0.8,IF(D15="B",0.2,""))))))))</f>
        <v>0.1</v>
      </c>
      <c r="F15" s="20" t="s">
        <v>48</v>
      </c>
      <c r="G15" s="57" t="s">
        <v>49</v>
      </c>
      <c r="H15" s="58">
        <v>0.5</v>
      </c>
    </row>
    <row r="16" spans="1:9">
      <c r="A16" s="23" t="s">
        <v>63</v>
      </c>
      <c r="B16" s="29">
        <v>1</v>
      </c>
      <c r="C16" s="25">
        <v>2</v>
      </c>
      <c r="D16" s="107" t="s">
        <v>47</v>
      </c>
      <c r="E16" s="172">
        <f t="shared" ref="E16" si="2">IF(D16="F",0.6,IF(D16="C",0.3,IF(D16="D",0.4,IF(D16="E",0.5,IF(D16="A",0.1,IF(D16="G",0.7,IF(D16="H",0.8,IF(D16="B",0.2,""))))))))</f>
        <v>0.1</v>
      </c>
      <c r="F16" s="26">
        <v>1.2</v>
      </c>
      <c r="G16" s="59">
        <f>G14-1.5</f>
        <v>10.299999999999999</v>
      </c>
      <c r="H16" s="58">
        <v>0.7</v>
      </c>
    </row>
    <row r="17" spans="1:15" ht="15.75">
      <c r="A17" s="68" t="s">
        <v>64</v>
      </c>
      <c r="B17" s="78">
        <v>1</v>
      </c>
      <c r="C17" s="193">
        <v>3</v>
      </c>
      <c r="D17" s="194" t="s">
        <v>47</v>
      </c>
      <c r="E17" s="195">
        <f>IF(D17="F",0.6,IF(D17="C",0.3,IF(D17="D",0.4,IF(D17="E",0.5,IF(D17="A",0.1,IF(D17="G",0.7,IF(D17="H",0.8,IF(D17="B",0.2,""))))))))</f>
        <v>0.1</v>
      </c>
      <c r="F17" s="31"/>
      <c r="G17" s="60"/>
      <c r="H17" s="58">
        <v>0.65</v>
      </c>
    </row>
    <row r="18" spans="1:15">
      <c r="A18" s="23" t="s">
        <v>59</v>
      </c>
      <c r="B18" s="29">
        <v>7</v>
      </c>
      <c r="C18" s="34">
        <v>2</v>
      </c>
      <c r="D18" s="184" t="s">
        <v>47</v>
      </c>
      <c r="E18" s="172">
        <f>IF(D18="F",0.6,IF(D18="C",0.3,IF(D18="D",0.4,IF(D18="E",0.5,IF(D18="A",0.1,IF(D18="G",0.7,IF(D18="H",0.8,IF(D18="B",0.2,""))))))))</f>
        <v>0.1</v>
      </c>
      <c r="F18" s="90"/>
      <c r="G18" s="60"/>
      <c r="H18" s="58">
        <v>0.5</v>
      </c>
    </row>
    <row r="19" spans="1:15" ht="15.75">
      <c r="A19" s="23" t="s">
        <v>60</v>
      </c>
      <c r="B19" s="29">
        <v>25</v>
      </c>
      <c r="C19" s="35">
        <v>2</v>
      </c>
      <c r="D19" s="25" t="s">
        <v>47</v>
      </c>
      <c r="E19" s="195">
        <f>IF(D19="F",0.6,IF(D19="C",0.3,IF(D19="D",0.4,IF(D19="E",0.5,IF(D19="A",0.1,IF(D19="G",0.7,IF(D19="H",0.8,IF(D19="B",0.2,""))))))))</f>
        <v>0.1</v>
      </c>
      <c r="F19" s="31"/>
      <c r="G19" s="60"/>
      <c r="H19" s="58">
        <v>0.9</v>
      </c>
    </row>
    <row r="20" spans="1:15" ht="15.75">
      <c r="A20" s="23" t="s">
        <v>65</v>
      </c>
      <c r="B20" s="29">
        <v>1</v>
      </c>
      <c r="C20" s="35">
        <v>4</v>
      </c>
      <c r="D20" s="140" t="s">
        <v>47</v>
      </c>
      <c r="E20" s="172">
        <f>IF(D20="F",0.6,IF(D20="C",0.3,IF(D20="D",0.4,IF(D20="E",0.5,IF(D20="A",0.1,IF(D20="G",0.7,IF(D20="H",0.8,IF(D20="B",0.2,""))))))))</f>
        <v>0.1</v>
      </c>
      <c r="F20" s="90"/>
      <c r="G20" s="60"/>
      <c r="H20" s="58">
        <v>0.2</v>
      </c>
    </row>
    <row r="21" spans="1:15" ht="15.75" customHeight="1">
      <c r="E21" s="108"/>
      <c r="F21" s="61" t="s">
        <v>115</v>
      </c>
      <c r="G21" s="152"/>
      <c r="H21" s="58">
        <v>0.8</v>
      </c>
    </row>
    <row r="22" spans="1:15" ht="15.75" customHeight="1">
      <c r="E22" s="108"/>
      <c r="F22" s="62"/>
      <c r="G22" s="152"/>
      <c r="H22" s="58">
        <v>0.8</v>
      </c>
    </row>
    <row r="23" spans="1:15" ht="15.75" customHeight="1">
      <c r="A23" s="90"/>
      <c r="B23" s="196"/>
      <c r="C23" s="90"/>
      <c r="D23" s="90"/>
      <c r="E23" s="90"/>
      <c r="F23" s="90"/>
      <c r="G23" s="60"/>
      <c r="H23" s="64"/>
    </row>
    <row r="24" spans="1:15" ht="15.75" customHeight="1">
      <c r="A24" s="271" t="s">
        <v>66</v>
      </c>
      <c r="B24" s="272"/>
      <c r="C24" s="272"/>
      <c r="D24" s="272"/>
      <c r="E24" s="263" t="str">
        <f>A1</f>
        <v>CHAMPI</v>
      </c>
      <c r="F24" s="14" t="s">
        <v>37</v>
      </c>
      <c r="G24" s="55" t="s">
        <v>38</v>
      </c>
      <c r="H24" s="279" t="s">
        <v>39</v>
      </c>
    </row>
    <row r="25" spans="1:15" ht="33" customHeight="1">
      <c r="A25" s="109" t="s">
        <v>0</v>
      </c>
      <c r="B25" s="110" t="s">
        <v>40</v>
      </c>
      <c r="C25" s="111" t="s">
        <v>41</v>
      </c>
      <c r="D25" s="112" t="s">
        <v>42</v>
      </c>
      <c r="E25" s="113" t="s">
        <v>43</v>
      </c>
      <c r="F25" s="17">
        <f>SUM(E26:E34)</f>
        <v>0.79999999999999982</v>
      </c>
      <c r="G25" s="56">
        <f>10+F25+F27+F33</f>
        <v>12.100000000000001</v>
      </c>
      <c r="H25" s="275"/>
      <c r="J25" s="108"/>
      <c r="K25" s="108"/>
      <c r="L25" s="108"/>
      <c r="M25" s="108"/>
      <c r="N25" s="108"/>
    </row>
    <row r="26" spans="1:15" ht="15.75" customHeight="1">
      <c r="A26" s="23" t="s">
        <v>152</v>
      </c>
      <c r="B26" s="29">
        <v>43</v>
      </c>
      <c r="C26" s="35">
        <v>1</v>
      </c>
      <c r="D26" s="171" t="s">
        <v>47</v>
      </c>
      <c r="E26" s="172">
        <f>IF(D26="F",0.6,IF(D26="C",0.3,IF(D26="D",0.4,IF(D26="E",0.5,IF(D26="A",0.1,IF(D26="G",0.7,IF(D26="H",0.8,IF(D26="B",0.2,""))))))))</f>
        <v>0.1</v>
      </c>
      <c r="F26" s="20" t="s">
        <v>48</v>
      </c>
      <c r="G26" s="57" t="s">
        <v>49</v>
      </c>
      <c r="H26" s="58">
        <v>0.2</v>
      </c>
      <c r="I26" s="108"/>
      <c r="J26" s="230"/>
      <c r="K26" s="293"/>
      <c r="L26" s="230"/>
      <c r="M26" s="230"/>
      <c r="N26" s="232"/>
      <c r="O26" s="108"/>
    </row>
    <row r="27" spans="1:15" ht="15.75" customHeight="1">
      <c r="A27" s="23" t="s">
        <v>153</v>
      </c>
      <c r="B27" s="29">
        <v>8</v>
      </c>
      <c r="C27" s="35">
        <v>3</v>
      </c>
      <c r="D27" s="171" t="s">
        <v>51</v>
      </c>
      <c r="E27" s="172">
        <f>IF(D27="F",0.6,IF(D27="C",0.3,IF(D27="D",0.4,IF(D27="E",0.5,IF(D27="A",0.1,IF(D27="G",0.7,IF(D27="H",0.8,IF(D27="B",0.2,""))))))))</f>
        <v>0.2</v>
      </c>
      <c r="F27" s="26">
        <v>1.3</v>
      </c>
      <c r="G27" s="59">
        <f>G25-1.5</f>
        <v>10.600000000000001</v>
      </c>
      <c r="H27" s="58">
        <v>0.9</v>
      </c>
      <c r="I27" s="108"/>
      <c r="J27" s="230"/>
      <c r="K27" s="293"/>
      <c r="L27" s="230"/>
      <c r="M27" s="230"/>
      <c r="N27" s="232"/>
      <c r="O27" s="108"/>
    </row>
    <row r="28" spans="1:15" ht="15.75" customHeight="1">
      <c r="A28" s="23" t="s">
        <v>154</v>
      </c>
      <c r="B28" s="29">
        <v>26</v>
      </c>
      <c r="C28" s="35">
        <v>2</v>
      </c>
      <c r="D28" s="173" t="s">
        <v>51</v>
      </c>
      <c r="E28" s="172">
        <f>IF(D28="F",0.6,IF(D28="C",0.3,IF(D28="D",0.4,IF(D28="E",0.5,IF(D28="A",0.1,IF(D28="G",0.7,IF(D28="H",0.8,IF(D28="B",0.2,""))))))))</f>
        <v>0.2</v>
      </c>
      <c r="F28" s="31"/>
      <c r="G28" s="60"/>
      <c r="H28" s="58">
        <v>0.85</v>
      </c>
      <c r="I28" s="108"/>
      <c r="J28" s="230"/>
      <c r="K28" s="293"/>
      <c r="L28" s="230"/>
      <c r="M28" s="230"/>
      <c r="N28" s="232"/>
      <c r="O28" s="108"/>
    </row>
    <row r="29" spans="1:15" ht="15.75" customHeight="1">
      <c r="A29" s="23" t="s">
        <v>155</v>
      </c>
      <c r="B29" s="29">
        <v>37</v>
      </c>
      <c r="C29" s="30">
        <v>1</v>
      </c>
      <c r="D29" s="140" t="s">
        <v>47</v>
      </c>
      <c r="E29" s="172">
        <f>IF(D29="F",0.6,IF(D29="C",0.3,IF(D29="D",0.4,IF(D29="E",0.5,IF(D29="A",0.1,IF(D29="G",0.7,IF(D29="H",0.8,IF(D29="B",0.2,""))))))))</f>
        <v>0.1</v>
      </c>
      <c r="F29" s="31"/>
      <c r="G29" s="60"/>
      <c r="H29" s="58">
        <v>0.85</v>
      </c>
      <c r="I29" s="108"/>
      <c r="J29" s="230"/>
      <c r="K29" s="293"/>
      <c r="L29" s="230"/>
      <c r="M29" s="230"/>
      <c r="N29" s="232"/>
      <c r="O29" s="108"/>
    </row>
    <row r="30" spans="1:15" ht="15.75" customHeight="1">
      <c r="A30" s="23" t="s">
        <v>70</v>
      </c>
      <c r="B30" s="29">
        <v>31</v>
      </c>
      <c r="C30" s="25">
        <v>1</v>
      </c>
      <c r="D30" s="140" t="s">
        <v>47</v>
      </c>
      <c r="E30" s="172">
        <f>IF(D30="F",0.6,IF(D30="C",0.3,IF(D30="D",0.4,IF(D30="E",0.5,IF(D30="A",0.1,IF(D30="G",0.7,IF(D30="H",0.8,IF(D30="B",0.2,""))))))))</f>
        <v>0.1</v>
      </c>
      <c r="F30" s="31"/>
      <c r="G30" s="60"/>
      <c r="H30" s="58">
        <v>0.9</v>
      </c>
      <c r="I30" s="108"/>
      <c r="J30" s="230"/>
      <c r="K30" s="293"/>
      <c r="L30" s="230"/>
      <c r="M30" s="230"/>
      <c r="N30" s="232"/>
      <c r="O30" s="108"/>
    </row>
    <row r="31" spans="1:15" ht="15.75" customHeight="1">
      <c r="A31" s="23" t="s">
        <v>123</v>
      </c>
      <c r="B31" s="29">
        <v>1</v>
      </c>
      <c r="C31" s="34">
        <v>2</v>
      </c>
      <c r="D31" s="107" t="s">
        <v>47</v>
      </c>
      <c r="E31" s="172">
        <f>IF(D31="F",0.6,IF(D31="C",0.3,IF(D31="D",0.4,IF(D31="E",0.5,IF(D31="A",0.1,IF(D31="G",0.7,IF(D31="H",0.8,IF(D31="B",0.2,""))))))))</f>
        <v>0.1</v>
      </c>
      <c r="F31" s="31"/>
      <c r="G31" s="60"/>
      <c r="H31" s="58">
        <v>0.75</v>
      </c>
      <c r="I31" s="108"/>
      <c r="J31" s="294"/>
      <c r="K31" s="294"/>
      <c r="L31" s="294"/>
      <c r="M31" s="294"/>
      <c r="N31" s="294"/>
      <c r="O31" s="108"/>
    </row>
    <row r="32" spans="1:15" ht="15.75" customHeight="1">
      <c r="A32" s="91" t="s">
        <v>73</v>
      </c>
      <c r="B32" s="93">
        <v>25</v>
      </c>
      <c r="C32" s="174">
        <v>1</v>
      </c>
      <c r="D32" s="175" t="s">
        <v>47</v>
      </c>
      <c r="E32" s="172">
        <f t="shared" ref="E32" si="3">IF(D32="F",0.6,IF(D32="C",0.3,IF(D32="D",0.4,IF(D32="E",0.5,IF(D32="A",0.1,IF(D32="G",0.7,IF(D32="H",0.8,IF(D32="B",0.2,""))))))))</f>
        <v>0.1</v>
      </c>
      <c r="F32" s="31"/>
      <c r="G32" s="60"/>
      <c r="H32" s="58">
        <v>0.2</v>
      </c>
      <c r="I32" s="108"/>
      <c r="J32" s="230"/>
      <c r="K32" s="293"/>
      <c r="L32" s="230"/>
      <c r="M32" s="230"/>
      <c r="N32" s="232"/>
      <c r="O32" s="108"/>
    </row>
    <row r="33" spans="1:15" ht="15.75" customHeight="1">
      <c r="A33" s="23" t="s">
        <v>103</v>
      </c>
      <c r="B33" s="29">
        <v>32</v>
      </c>
      <c r="C33" s="35">
        <v>4</v>
      </c>
      <c r="D33" s="140" t="s">
        <v>51</v>
      </c>
      <c r="E33" s="195">
        <f t="shared" ref="E33" si="4">IF(D33="F",0.6,IF(D33="C",0.3,IF(D33="D",0.4,IF(D33="E",0.5,IF(D33="A",0.1,IF(D33="G",0.7,IF(D33="H",0.8,IF(D33="B",0.2,""))))))))</f>
        <v>0.2</v>
      </c>
      <c r="F33" s="31"/>
      <c r="G33" s="60"/>
      <c r="H33" s="58">
        <v>0.85</v>
      </c>
      <c r="I33" s="108"/>
      <c r="J33" s="230"/>
      <c r="K33" s="293"/>
      <c r="L33" s="230"/>
      <c r="M33" s="230"/>
      <c r="N33" s="232"/>
      <c r="O33" s="108"/>
    </row>
    <row r="34" spans="1:15" ht="15.75" customHeight="1">
      <c r="B34" s="37"/>
      <c r="D34" s="108"/>
      <c r="E34" s="262">
        <v>-0.3</v>
      </c>
      <c r="F34" s="284" t="s">
        <v>156</v>
      </c>
      <c r="G34" s="285"/>
      <c r="H34" s="64"/>
      <c r="J34" s="108"/>
      <c r="K34" s="108"/>
      <c r="L34" s="108"/>
      <c r="M34" s="108"/>
      <c r="N34" s="108"/>
    </row>
    <row r="35" spans="1:15" ht="15.75" customHeight="1">
      <c r="B35" s="37"/>
      <c r="E35" s="108"/>
      <c r="F35" s="31"/>
      <c r="G35" s="60"/>
      <c r="H35" s="64"/>
    </row>
    <row r="36" spans="1:15" ht="15.75" customHeight="1">
      <c r="A36" s="271" t="s">
        <v>75</v>
      </c>
      <c r="B36" s="272"/>
      <c r="C36" s="273" t="str">
        <f>A1</f>
        <v>CHAMPI</v>
      </c>
      <c r="D36" s="270"/>
      <c r="F36" s="31"/>
      <c r="G36" s="60"/>
      <c r="H36" s="280" t="s">
        <v>39</v>
      </c>
    </row>
    <row r="37" spans="1:15" ht="31.5" customHeight="1">
      <c r="A37" s="109" t="s">
        <v>0</v>
      </c>
      <c r="B37" s="110" t="s">
        <v>40</v>
      </c>
      <c r="C37" s="111" t="s">
        <v>41</v>
      </c>
      <c r="D37" s="112" t="s">
        <v>42</v>
      </c>
      <c r="E37" s="14" t="s">
        <v>37</v>
      </c>
      <c r="F37" s="130" t="s">
        <v>76</v>
      </c>
      <c r="G37" s="21" t="s">
        <v>49</v>
      </c>
      <c r="H37" s="277"/>
    </row>
    <row r="38" spans="1:15" ht="15.75" customHeight="1">
      <c r="A38" s="43" t="s">
        <v>98</v>
      </c>
      <c r="B38" s="121">
        <v>307</v>
      </c>
      <c r="C38" s="30">
        <v>3</v>
      </c>
      <c r="D38" s="65">
        <v>1.8</v>
      </c>
      <c r="E38" s="17"/>
      <c r="F38" s="70">
        <f>10+D38</f>
        <v>11.8</v>
      </c>
      <c r="G38" s="27">
        <f>F38-1.3</f>
        <v>10.5</v>
      </c>
      <c r="H38" s="58">
        <v>0.01</v>
      </c>
    </row>
    <row r="39" spans="1:15" ht="15.75" customHeight="1">
      <c r="B39" s="37"/>
      <c r="D39" s="264"/>
      <c r="F39" s="31"/>
      <c r="G39" s="60"/>
      <c r="H39" s="64"/>
    </row>
    <row r="40" spans="1:15" ht="15.75" customHeight="1">
      <c r="A40" s="271" t="s">
        <v>78</v>
      </c>
      <c r="B40" s="272"/>
      <c r="C40" s="272"/>
      <c r="D40" s="272"/>
      <c r="E40" s="263" t="str">
        <f>A1</f>
        <v>CHAMPI</v>
      </c>
      <c r="F40" s="14" t="s">
        <v>37</v>
      </c>
      <c r="G40" s="55" t="s">
        <v>38</v>
      </c>
      <c r="H40" s="279" t="s">
        <v>39</v>
      </c>
    </row>
    <row r="41" spans="1:15" ht="30.75" customHeight="1">
      <c r="A41" s="109" t="s">
        <v>0</v>
      </c>
      <c r="B41" s="110" t="s">
        <v>40</v>
      </c>
      <c r="C41" s="111" t="s">
        <v>41</v>
      </c>
      <c r="D41" s="112" t="s">
        <v>42</v>
      </c>
      <c r="E41" s="113" t="s">
        <v>43</v>
      </c>
      <c r="F41" s="149">
        <f>SUM(E42:E49)</f>
        <v>0.99999999999999989</v>
      </c>
      <c r="G41" s="56">
        <f>10+F41+F43+F49</f>
        <v>12.2</v>
      </c>
      <c r="H41" s="275"/>
    </row>
    <row r="42" spans="1:15" ht="15.75" customHeight="1">
      <c r="A42" s="23" t="s">
        <v>81</v>
      </c>
      <c r="B42" s="46">
        <v>1</v>
      </c>
      <c r="C42" s="25">
        <v>1</v>
      </c>
      <c r="D42" s="107" t="s">
        <v>47</v>
      </c>
      <c r="E42" s="172">
        <f>IF(D42="F",0.6,IF(D42="C",0.3,IF(D42="D",0.4,IF(D42="E",0.5,IF(D42="A",0.1,IF(D42="G",0.7,IF(D42="H",0.8,IF(D42="B",0.2,""))))))))</f>
        <v>0.1</v>
      </c>
      <c r="F42" s="20" t="s">
        <v>48</v>
      </c>
      <c r="G42" s="147" t="s">
        <v>49</v>
      </c>
      <c r="H42" s="58">
        <v>0.85</v>
      </c>
    </row>
    <row r="43" spans="1:15" ht="15.75" customHeight="1">
      <c r="A43" s="23" t="s">
        <v>80</v>
      </c>
      <c r="B43" s="24">
        <v>1</v>
      </c>
      <c r="C43" s="35">
        <v>2</v>
      </c>
      <c r="D43" s="173" t="s">
        <v>47</v>
      </c>
      <c r="E43" s="172">
        <f t="shared" ref="E43" si="5">IF(D43="F",0.6,IF(D43="C",0.3,IF(D43="D",0.4,IF(D43="E",0.5,IF(D43="A",0.1,IF(D43="G",0.7,IF(D43="H",0.8,IF(D43="B",0.2,""))))))))</f>
        <v>0.1</v>
      </c>
      <c r="F43" s="26">
        <v>1.2</v>
      </c>
      <c r="G43" s="148">
        <f>G41-1.5</f>
        <v>10.7</v>
      </c>
      <c r="H43" s="58">
        <v>0.85</v>
      </c>
    </row>
    <row r="44" spans="1:15" ht="15.75" customHeight="1">
      <c r="A44" s="23" t="s">
        <v>157</v>
      </c>
      <c r="B44" s="24">
        <v>91</v>
      </c>
      <c r="C44" s="30">
        <v>2</v>
      </c>
      <c r="D44" s="140" t="s">
        <v>47</v>
      </c>
      <c r="E44" s="172">
        <f>IF(D44="F",0.6,IF(D44="C",0.3,IF(D44="D",0.4,IF(D44="E",0.5,IF(D44="A",0.1,IF(D44="G",0.7,IF(D44="H",0.8,IF(D44="B",0.2,""))))))))</f>
        <v>0.1</v>
      </c>
      <c r="F44" s="90"/>
      <c r="G44" s="60"/>
      <c r="H44" s="58">
        <v>0.9</v>
      </c>
    </row>
    <row r="45" spans="1:15" ht="15.75" customHeight="1">
      <c r="A45" s="135" t="s">
        <v>128</v>
      </c>
      <c r="B45" s="139">
        <v>116</v>
      </c>
      <c r="C45" s="34">
        <v>3</v>
      </c>
      <c r="D45" s="107" t="s">
        <v>51</v>
      </c>
      <c r="E45" s="172">
        <f>IF(D45="F",0.6,IF(D45="C",0.3,IF(D45="D",0.4,IF(D45="E",0.5,IF(D45="A",0.1,IF(D45="G",0.7,IF(D45="H",0.8,IF(D45="B",0.2,""))))))))</f>
        <v>0.2</v>
      </c>
      <c r="F45" s="31"/>
      <c r="G45" s="60"/>
      <c r="H45" s="58">
        <v>0.65</v>
      </c>
    </row>
    <row r="46" spans="1:15" ht="15.75" customHeight="1">
      <c r="A46" s="45" t="s">
        <v>140</v>
      </c>
      <c r="B46" s="46">
        <v>97</v>
      </c>
      <c r="C46" s="35">
        <v>3</v>
      </c>
      <c r="D46" s="173" t="s">
        <v>47</v>
      </c>
      <c r="E46" s="172">
        <f>IF(D46="F",0.6,IF(D46="C",0.3,IF(D46="D",0.4,IF(D46="E",0.5,IF(D46="A",0.1,IF(D46="G",0.7,IF(D46="H",0.8,IF(D46="B",0.2,""))))))))</f>
        <v>0.1</v>
      </c>
      <c r="F46" s="31"/>
      <c r="G46" s="60"/>
      <c r="H46" s="58">
        <v>0.7</v>
      </c>
    </row>
    <row r="47" spans="1:15" ht="15.75" customHeight="1">
      <c r="A47" s="23" t="s">
        <v>123</v>
      </c>
      <c r="B47" s="29">
        <v>1</v>
      </c>
      <c r="C47" s="25">
        <v>2</v>
      </c>
      <c r="D47" s="140" t="s">
        <v>47</v>
      </c>
      <c r="E47" s="172">
        <f t="shared" ref="E47" si="6">IF(D47="F",0.6,IF(D47="C",0.3,IF(D47="D",0.4,IF(D47="E",0.5,IF(D47="A",0.1,IF(D47="G",0.7,IF(D47="H",0.8,IF(D47="B",0.2,""))))))))</f>
        <v>0.1</v>
      </c>
      <c r="F47" s="31"/>
      <c r="G47" s="60"/>
      <c r="H47" s="58">
        <v>0.85</v>
      </c>
    </row>
    <row r="48" spans="1:15" ht="15.75" customHeight="1">
      <c r="A48" s="45" t="s">
        <v>83</v>
      </c>
      <c r="B48" s="46">
        <v>8</v>
      </c>
      <c r="C48" s="35">
        <v>2</v>
      </c>
      <c r="D48" s="173" t="s">
        <v>51</v>
      </c>
      <c r="E48" s="172">
        <f>IF(D48="F",0.6,IF(D48="C",0.3,IF(D48="D",0.4,IF(D48="E",0.5,IF(D48="A",0.1,IF(D48="G",0.7,IF(D48="H",0.8,IF(D48="B",0.2,""))))))))</f>
        <v>0.2</v>
      </c>
      <c r="F48" s="61" t="s">
        <v>115</v>
      </c>
      <c r="G48" s="60"/>
      <c r="H48" s="58">
        <v>0.9</v>
      </c>
    </row>
    <row r="49" spans="1:8" ht="15.75" customHeight="1">
      <c r="A49" s="23" t="s">
        <v>158</v>
      </c>
      <c r="B49" s="24">
        <v>43</v>
      </c>
      <c r="C49" s="35">
        <v>4</v>
      </c>
      <c r="D49" s="140" t="s">
        <v>47</v>
      </c>
      <c r="E49" s="172">
        <f t="shared" ref="E49" si="7">IF(D49="F",0.6,IF(D49="C",0.3,IF(D49="D",0.4,IF(D49="E",0.5,IF(D49="A",0.1,IF(D49="G",0.7,IF(D49="H",0.8,IF(D49="B",0.2,""))))))))</f>
        <v>0.1</v>
      </c>
      <c r="F49" s="62"/>
      <c r="G49" s="60"/>
      <c r="H49" s="58">
        <v>0.65</v>
      </c>
    </row>
    <row r="50" spans="1:8" ht="15.75" customHeight="1">
      <c r="B50" s="37"/>
      <c r="F50" s="31"/>
      <c r="G50" s="60"/>
      <c r="H50" s="64"/>
    </row>
    <row r="51" spans="1:8" ht="15.75" customHeight="1">
      <c r="A51" s="271" t="s">
        <v>7</v>
      </c>
      <c r="B51" s="272"/>
      <c r="C51" s="272"/>
      <c r="D51" s="272"/>
      <c r="E51" s="263" t="str">
        <f>A1</f>
        <v>CHAMPI</v>
      </c>
      <c r="F51" s="14" t="s">
        <v>37</v>
      </c>
      <c r="G51" s="55" t="s">
        <v>38</v>
      </c>
      <c r="H51" s="279" t="s">
        <v>39</v>
      </c>
    </row>
    <row r="52" spans="1:8" ht="24">
      <c r="A52" s="109" t="s">
        <v>0</v>
      </c>
      <c r="B52" s="110" t="s">
        <v>40</v>
      </c>
      <c r="C52" s="111" t="s">
        <v>41</v>
      </c>
      <c r="D52" s="118" t="s">
        <v>42</v>
      </c>
      <c r="E52" s="113" t="s">
        <v>43</v>
      </c>
      <c r="F52" s="17">
        <f>SUM(E53:E60)</f>
        <v>1.4</v>
      </c>
      <c r="G52" s="56">
        <f>10+F52+F54+F60</f>
        <v>13</v>
      </c>
      <c r="H52" s="275"/>
    </row>
    <row r="53" spans="1:8" ht="15.75" customHeight="1">
      <c r="A53" s="45" t="s">
        <v>101</v>
      </c>
      <c r="B53" s="46">
        <v>25</v>
      </c>
      <c r="C53" s="35">
        <v>3</v>
      </c>
      <c r="D53" s="173" t="s">
        <v>47</v>
      </c>
      <c r="E53" s="172">
        <f>IF(D53="F",0.6,IF(D53="C",0.3,IF(D53="D",0.4,IF(D53="E",0.5,IF(D53="A",0.1,IF(D53="G",0.7,IF(D53="H",0.8,IF(D53="B",0.2,""))))))))</f>
        <v>0.1</v>
      </c>
      <c r="F53" s="20" t="s">
        <v>48</v>
      </c>
      <c r="G53" s="57" t="s">
        <v>49</v>
      </c>
      <c r="H53" s="58">
        <v>0.65</v>
      </c>
    </row>
    <row r="54" spans="1:8" ht="15.75" customHeight="1">
      <c r="A54" s="23" t="s">
        <v>142</v>
      </c>
      <c r="B54" s="29">
        <v>58</v>
      </c>
      <c r="C54" s="35">
        <v>2</v>
      </c>
      <c r="D54" s="211" t="s">
        <v>119</v>
      </c>
      <c r="E54" s="172">
        <f>IF(D54="F",0.6,IF(D54="C",0.3,IF(D54="D",0.4,IF(D54="E",0.5,IF(D54="A",0.1,IF(D54="G",0.7,IF(D54="H",0.8,IF(D54="B",0.2,""))))))))</f>
        <v>0.4</v>
      </c>
      <c r="F54" s="26">
        <v>1.6</v>
      </c>
      <c r="G54" s="59">
        <f>G52-1.5</f>
        <v>11.5</v>
      </c>
      <c r="H54" s="58">
        <v>0.9</v>
      </c>
    </row>
    <row r="55" spans="1:8" ht="15.75" customHeight="1">
      <c r="A55" s="23" t="s">
        <v>89</v>
      </c>
      <c r="B55" s="24">
        <v>1</v>
      </c>
      <c r="C55" s="35">
        <v>3</v>
      </c>
      <c r="D55" s="211" t="s">
        <v>47</v>
      </c>
      <c r="E55" s="172">
        <f>IF(D55="F",0.6,IF(D55="C",0.3,IF(D55="D",0.4,IF(D55="E",0.5,IF(D55="A",0.1,IF(D55="G",0.7,IF(D55="H",0.8,IF(D55="B",0.2,""))))))))</f>
        <v>0.1</v>
      </c>
      <c r="F55" s="31"/>
      <c r="G55" s="60"/>
      <c r="H55" s="58">
        <v>0.9</v>
      </c>
    </row>
    <row r="56" spans="1:8" ht="15.75" customHeight="1">
      <c r="A56" s="23" t="s">
        <v>59</v>
      </c>
      <c r="B56" s="29">
        <v>13</v>
      </c>
      <c r="C56" s="35">
        <v>1</v>
      </c>
      <c r="D56" s="25" t="s">
        <v>47</v>
      </c>
      <c r="E56" s="172">
        <f>IF(D56="F",0.6,IF(D56="C",0.3,IF(D56="D",0.4,IF(D56="E",0.5,IF(D56="A",0.1,IF(D56="G",0.7,IF(D56="H",0.8,IF(D56="B",0.2,""))))))))</f>
        <v>0.1</v>
      </c>
      <c r="F56" s="31"/>
      <c r="G56" s="60"/>
      <c r="H56" s="58">
        <v>0.8</v>
      </c>
    </row>
    <row r="57" spans="1:8" ht="15.75" customHeight="1">
      <c r="A57" s="23" t="s">
        <v>145</v>
      </c>
      <c r="B57" s="24">
        <v>32</v>
      </c>
      <c r="C57" s="25">
        <v>3</v>
      </c>
      <c r="D57" s="140" t="s">
        <v>51</v>
      </c>
      <c r="E57" s="172">
        <f>IF(D57="F",0.6,IF(D57="C",0.3,IF(D57="D",0.4,IF(D57="E",0.5,IF(D57="A",0.1,IF(D57="G",0.7,IF(D57="H",0.8,IF(D57="B",0.2,""))))))))</f>
        <v>0.2</v>
      </c>
      <c r="F57" s="31"/>
      <c r="G57" s="60"/>
      <c r="H57" s="58">
        <v>0.85</v>
      </c>
    </row>
    <row r="58" spans="1:8" ht="15.75" customHeight="1">
      <c r="A58" s="23" t="s">
        <v>86</v>
      </c>
      <c r="B58" s="24">
        <v>7</v>
      </c>
      <c r="C58" s="35">
        <v>1</v>
      </c>
      <c r="D58" s="173" t="s">
        <v>47</v>
      </c>
      <c r="E58" s="172">
        <f t="shared" ref="E58" si="8">IF(D58="F",0.6,IF(D58="C",0.3,IF(D58="D",0.4,IF(D58="E",0.5,IF(D58="A",0.1,IF(D58="G",0.7,IF(D58="H",0.8,IF(D58="B",0.2,""))))))))</f>
        <v>0.1</v>
      </c>
      <c r="F58" s="31"/>
      <c r="G58" s="60"/>
      <c r="H58" s="58">
        <v>0.85</v>
      </c>
    </row>
    <row r="59" spans="1:8" ht="15.75" customHeight="1">
      <c r="A59" s="23" t="s">
        <v>159</v>
      </c>
      <c r="B59" s="122">
        <v>13</v>
      </c>
      <c r="C59" s="35">
        <v>1</v>
      </c>
      <c r="D59" s="173" t="s">
        <v>47</v>
      </c>
      <c r="E59" s="172">
        <f>IF(D59="F",0.6,IF(D59="C",0.3,IF(D59="D",0.4,IF(D59="E",0.5,IF(D59="A",0.1,IF(D59="G",0.7,IF(D59="H",0.8,IF(D59="B",0.2,""))))))))</f>
        <v>0.1</v>
      </c>
      <c r="F59" s="61" t="s">
        <v>115</v>
      </c>
      <c r="G59" s="60"/>
      <c r="H59" s="58">
        <v>0.9</v>
      </c>
    </row>
    <row r="60" spans="1:8" ht="15.75" customHeight="1">
      <c r="A60" s="23" t="s">
        <v>130</v>
      </c>
      <c r="B60" s="122">
        <v>39</v>
      </c>
      <c r="C60" s="35">
        <v>4</v>
      </c>
      <c r="D60" s="140" t="s">
        <v>100</v>
      </c>
      <c r="E60" s="172">
        <f t="shared" ref="E60" si="9">IF(D60="F",0.6,IF(D60="C",0.3,IF(D60="D",0.4,IF(D60="E",0.5,IF(D60="A",0.1,IF(D60="G",0.7,IF(D60="H",0.8,IF(D60="B",0.2,""))))))))</f>
        <v>0.3</v>
      </c>
      <c r="F60" s="62"/>
      <c r="G60" s="60"/>
      <c r="H60" s="58">
        <v>0.75</v>
      </c>
    </row>
    <row r="61" spans="1:8" ht="15.75" customHeight="1">
      <c r="A61" s="31"/>
      <c r="B61" s="48"/>
      <c r="C61" s="31"/>
      <c r="D61" s="31"/>
      <c r="E61" s="31"/>
      <c r="F61" s="31"/>
      <c r="G61" s="60"/>
      <c r="H61" s="64"/>
    </row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5">
    <mergeCell ref="A24:D24"/>
    <mergeCell ref="H36:H37"/>
    <mergeCell ref="C36:D36"/>
    <mergeCell ref="H51:H52"/>
    <mergeCell ref="H24:H25"/>
    <mergeCell ref="H40:H41"/>
    <mergeCell ref="A51:D51"/>
    <mergeCell ref="A40:D40"/>
    <mergeCell ref="A36:B36"/>
    <mergeCell ref="F34:G34"/>
    <mergeCell ref="H13:H14"/>
    <mergeCell ref="A2:D2"/>
    <mergeCell ref="H2:H3"/>
    <mergeCell ref="A13:D13"/>
    <mergeCell ref="A1:B1"/>
  </mergeCells>
  <conditionalFormatting sqref="A30:A31 A27:A28 A15 A17:A19 A33 J33">
    <cfRule type="expression" dxfId="921" priority="430">
      <formula>G:G&gt;=80</formula>
    </cfRule>
  </conditionalFormatting>
  <conditionalFormatting sqref="A36">
    <cfRule type="expression" dxfId="920" priority="385">
      <formula>BM:BM&gt;=80</formula>
    </cfRule>
  </conditionalFormatting>
  <conditionalFormatting sqref="C27:C31 C42:C46 C48 C56 C59:C60 C53 C5:C7 C15:C19 C9 C11">
    <cfRule type="cellIs" dxfId="919" priority="362" operator="equal">
      <formula>4</formula>
    </cfRule>
    <cfRule type="cellIs" dxfId="918" priority="363" operator="equal">
      <formula>3</formula>
    </cfRule>
    <cfRule type="cellIs" dxfId="917" priority="364" operator="equal">
      <formula>2</formula>
    </cfRule>
    <cfRule type="cellIs" dxfId="916" priority="365" operator="equal">
      <formula>1</formula>
    </cfRule>
  </conditionalFormatting>
  <conditionalFormatting sqref="C33">
    <cfRule type="cellIs" dxfId="915" priority="340" operator="equal">
      <formula>4</formula>
    </cfRule>
    <cfRule type="cellIs" dxfId="914" priority="341" operator="equal">
      <formula>3</formula>
    </cfRule>
    <cfRule type="cellIs" dxfId="913" priority="342" operator="equal">
      <formula>2</formula>
    </cfRule>
    <cfRule type="cellIs" dxfId="912" priority="343" operator="equal">
      <formula>1</formula>
    </cfRule>
  </conditionalFormatting>
  <conditionalFormatting sqref="C38">
    <cfRule type="cellIs" dxfId="911" priority="285" operator="equal">
      <formula>4</formula>
    </cfRule>
    <cfRule type="cellIs" dxfId="910" priority="286" operator="equal">
      <formula>3</formula>
    </cfRule>
    <cfRule type="cellIs" dxfId="909" priority="287" operator="equal">
      <formula>2</formula>
    </cfRule>
    <cfRule type="cellIs" dxfId="908" priority="288" operator="equal">
      <formula>1</formula>
    </cfRule>
  </conditionalFormatting>
  <conditionalFormatting sqref="D27:D31 D42:D46 D48 D56 D59:D60 D53 D5:D7 D15:D19 D9 D11">
    <cfRule type="containsText" dxfId="907" priority="355" operator="containsText" text="G">
      <formula>NOT(ISERROR(SEARCH("G",D5)))</formula>
    </cfRule>
    <cfRule type="containsText" dxfId="906" priority="356" operator="containsText" text="F">
      <formula>NOT(ISERROR(SEARCH("F",D5)))</formula>
    </cfRule>
    <cfRule type="containsText" dxfId="905" priority="357" operator="containsText" text="E">
      <formula>NOT(ISERROR(SEARCH("E",D5)))</formula>
    </cfRule>
    <cfRule type="containsText" dxfId="904" priority="358" operator="containsText" text="D">
      <formula>NOT(ISERROR(SEARCH("D",D5)))</formula>
    </cfRule>
    <cfRule type="containsText" dxfId="903" priority="359" operator="containsText" text="C">
      <formula>NOT(ISERROR(SEARCH("C",D5)))</formula>
    </cfRule>
    <cfRule type="containsText" dxfId="902" priority="360" operator="containsText" text="B">
      <formula>NOT(ISERROR(SEARCH("B",D5)))</formula>
    </cfRule>
    <cfRule type="containsText" dxfId="901" priority="361" operator="containsText" text="A">
      <formula>NOT(ISERROR(SEARCH("A",D5)))</formula>
    </cfRule>
  </conditionalFormatting>
  <conditionalFormatting sqref="D33">
    <cfRule type="containsText" dxfId="900" priority="333" operator="containsText" text="G">
      <formula>NOT(ISERROR(SEARCH("G",D33)))</formula>
    </cfRule>
    <cfRule type="containsText" dxfId="899" priority="334" operator="containsText" text="F">
      <formula>NOT(ISERROR(SEARCH("F",D33)))</formula>
    </cfRule>
    <cfRule type="containsText" dxfId="898" priority="335" operator="containsText" text="E">
      <formula>NOT(ISERROR(SEARCH("E",D33)))</formula>
    </cfRule>
    <cfRule type="containsText" dxfId="897" priority="336" operator="containsText" text="D">
      <formula>NOT(ISERROR(SEARCH("D",D33)))</formula>
    </cfRule>
    <cfRule type="containsText" dxfId="896" priority="337" operator="containsText" text="C">
      <formula>NOT(ISERROR(SEARCH("C",D33)))</formula>
    </cfRule>
    <cfRule type="containsText" dxfId="895" priority="338" operator="containsText" text="B">
      <formula>NOT(ISERROR(SEARCH("B",D33)))</formula>
    </cfRule>
    <cfRule type="containsText" dxfId="894" priority="339" operator="containsText" text="A">
      <formula>NOT(ISERROR(SEARCH("A",D33)))</formula>
    </cfRule>
  </conditionalFormatting>
  <conditionalFormatting sqref="G1:G33 G35:G61">
    <cfRule type="cellIs" dxfId="893" priority="367" operator="between">
      <formula>0.7</formula>
      <formula>0.8</formula>
    </cfRule>
    <cfRule type="cellIs" dxfId="892" priority="368" operator="between">
      <formula>0.8</formula>
      <formula>1</formula>
    </cfRule>
    <cfRule type="cellIs" dxfId="891" priority="369" operator="between">
      <formula>69%</formula>
      <formula>0.01</formula>
    </cfRule>
  </conditionalFormatting>
  <conditionalFormatting sqref="H1">
    <cfRule type="cellIs" dxfId="890" priority="301" operator="between">
      <formula>0.7</formula>
      <formula>0.8</formula>
    </cfRule>
    <cfRule type="cellIs" dxfId="889" priority="302" operator="between">
      <formula>0.8</formula>
      <formula>1</formula>
    </cfRule>
    <cfRule type="cellIs" dxfId="888" priority="303" operator="between">
      <formula>69%</formula>
      <formula>0.01</formula>
    </cfRule>
  </conditionalFormatting>
  <conditionalFormatting sqref="H1:H61">
    <cfRule type="cellIs" dxfId="887" priority="304" stopIfTrue="1" operator="between">
      <formula>0.81</formula>
      <formula>1</formula>
    </cfRule>
    <cfRule type="cellIs" dxfId="886" priority="305" stopIfTrue="1" operator="between">
      <formula>0.7</formula>
      <formula>0.8</formula>
    </cfRule>
    <cfRule type="cellIs" dxfId="885" priority="306" stopIfTrue="1" operator="between">
      <formula>0.01</formula>
      <formula>0.69</formula>
    </cfRule>
  </conditionalFormatting>
  <conditionalFormatting sqref="C49">
    <cfRule type="cellIs" dxfId="884" priority="241" operator="equal">
      <formula>4</formula>
    </cfRule>
    <cfRule type="cellIs" dxfId="883" priority="242" operator="equal">
      <formula>3</formula>
    </cfRule>
    <cfRule type="cellIs" dxfId="882" priority="243" operator="equal">
      <formula>2</formula>
    </cfRule>
    <cfRule type="cellIs" dxfId="881" priority="244" operator="equal">
      <formula>1</formula>
    </cfRule>
  </conditionalFormatting>
  <conditionalFormatting sqref="D49">
    <cfRule type="containsText" dxfId="880" priority="245" operator="containsText" text="G">
      <formula>NOT(ISERROR(SEARCH("G",D49)))</formula>
    </cfRule>
    <cfRule type="containsText" dxfId="879" priority="246" operator="containsText" text="F">
      <formula>NOT(ISERROR(SEARCH("F",D49)))</formula>
    </cfRule>
    <cfRule type="containsText" dxfId="878" priority="247" operator="containsText" text="E">
      <formula>NOT(ISERROR(SEARCH("E",D49)))</formula>
    </cfRule>
    <cfRule type="containsText" dxfId="877" priority="248" operator="containsText" text="D">
      <formula>NOT(ISERROR(SEARCH("D",D49)))</formula>
    </cfRule>
    <cfRule type="containsText" dxfId="876" priority="249" operator="containsText" text="C">
      <formula>NOT(ISERROR(SEARCH("C",D49)))</formula>
    </cfRule>
    <cfRule type="containsText" dxfId="875" priority="250" operator="containsText" text="B">
      <formula>NOT(ISERROR(SEARCH("B",D49)))</formula>
    </cfRule>
    <cfRule type="containsText" dxfId="874" priority="251" operator="containsText" text="A">
      <formula>NOT(ISERROR(SEARCH("A",D49)))</formula>
    </cfRule>
  </conditionalFormatting>
  <conditionalFormatting sqref="C26">
    <cfRule type="cellIs" dxfId="873" priority="237" operator="equal">
      <formula>4</formula>
    </cfRule>
    <cfRule type="cellIs" dxfId="872" priority="238" operator="equal">
      <formula>3</formula>
    </cfRule>
    <cfRule type="cellIs" dxfId="871" priority="239" operator="equal">
      <formula>2</formula>
    </cfRule>
    <cfRule type="cellIs" dxfId="870" priority="240" operator="equal">
      <formula>1</formula>
    </cfRule>
  </conditionalFormatting>
  <conditionalFormatting sqref="D26">
    <cfRule type="containsText" dxfId="869" priority="230" operator="containsText" text="G">
      <formula>NOT(ISERROR(SEARCH("G",D26)))</formula>
    </cfRule>
    <cfRule type="containsText" dxfId="868" priority="231" operator="containsText" text="F">
      <formula>NOT(ISERROR(SEARCH("F",D26)))</formula>
    </cfRule>
    <cfRule type="containsText" dxfId="867" priority="232" operator="containsText" text="E">
      <formula>NOT(ISERROR(SEARCH("E",D26)))</formula>
    </cfRule>
    <cfRule type="containsText" dxfId="866" priority="233" operator="containsText" text="D">
      <formula>NOT(ISERROR(SEARCH("D",D26)))</formula>
    </cfRule>
    <cfRule type="containsText" dxfId="865" priority="234" operator="containsText" text="C">
      <formula>NOT(ISERROR(SEARCH("C",D26)))</formula>
    </cfRule>
    <cfRule type="containsText" dxfId="864" priority="235" operator="containsText" text="B">
      <formula>NOT(ISERROR(SEARCH("B",D26)))</formula>
    </cfRule>
    <cfRule type="containsText" dxfId="863" priority="236" operator="containsText" text="A">
      <formula>NOT(ISERROR(SEARCH("A",D26)))</formula>
    </cfRule>
  </conditionalFormatting>
  <conditionalFormatting sqref="C32">
    <cfRule type="cellIs" dxfId="862" priority="226" operator="equal">
      <formula>4</formula>
    </cfRule>
    <cfRule type="cellIs" dxfId="861" priority="227" operator="equal">
      <formula>3</formula>
    </cfRule>
    <cfRule type="cellIs" dxfId="860" priority="228" operator="equal">
      <formula>2</formula>
    </cfRule>
    <cfRule type="cellIs" dxfId="859" priority="229" operator="equal">
      <formula>1</formula>
    </cfRule>
  </conditionalFormatting>
  <conditionalFormatting sqref="D32">
    <cfRule type="containsText" dxfId="858" priority="219" operator="containsText" text="G">
      <formula>NOT(ISERROR(SEARCH("G",D32)))</formula>
    </cfRule>
    <cfRule type="containsText" dxfId="857" priority="220" operator="containsText" text="F">
      <formula>NOT(ISERROR(SEARCH("F",D32)))</formula>
    </cfRule>
    <cfRule type="containsText" dxfId="856" priority="221" operator="containsText" text="E">
      <formula>NOT(ISERROR(SEARCH("E",D32)))</formula>
    </cfRule>
    <cfRule type="containsText" dxfId="855" priority="222" operator="containsText" text="D">
      <formula>NOT(ISERROR(SEARCH("D",D32)))</formula>
    </cfRule>
    <cfRule type="containsText" dxfId="854" priority="223" operator="containsText" text="C">
      <formula>NOT(ISERROR(SEARCH("C",D32)))</formula>
    </cfRule>
    <cfRule type="containsText" dxfId="853" priority="224" operator="containsText" text="B">
      <formula>NOT(ISERROR(SEARCH("B",D32)))</formula>
    </cfRule>
    <cfRule type="containsText" dxfId="852" priority="225" operator="containsText" text="A">
      <formula>NOT(ISERROR(SEARCH("A",D32)))</formula>
    </cfRule>
  </conditionalFormatting>
  <conditionalFormatting sqref="C8">
    <cfRule type="cellIs" dxfId="851" priority="185" operator="equal">
      <formula>4</formula>
    </cfRule>
    <cfRule type="cellIs" dxfId="850" priority="186" operator="equal">
      <formula>3</formula>
    </cfRule>
    <cfRule type="cellIs" dxfId="849" priority="187" operator="equal">
      <formula>2</formula>
    </cfRule>
    <cfRule type="cellIs" dxfId="848" priority="188" operator="equal">
      <formula>1</formula>
    </cfRule>
  </conditionalFormatting>
  <conditionalFormatting sqref="D8">
    <cfRule type="containsText" dxfId="847" priority="189" operator="containsText" text="G">
      <formula>NOT(ISERROR(SEARCH("G",D8)))</formula>
    </cfRule>
    <cfRule type="containsText" dxfId="846" priority="190" operator="containsText" text="F">
      <formula>NOT(ISERROR(SEARCH("F",D8)))</formula>
    </cfRule>
    <cfRule type="containsText" dxfId="845" priority="191" operator="containsText" text="E">
      <formula>NOT(ISERROR(SEARCH("E",D8)))</formula>
    </cfRule>
    <cfRule type="containsText" dxfId="844" priority="192" operator="containsText" text="D">
      <formula>NOT(ISERROR(SEARCH("D",D8)))</formula>
    </cfRule>
    <cfRule type="containsText" dxfId="843" priority="193" operator="containsText" text="C">
      <formula>NOT(ISERROR(SEARCH("C",D8)))</formula>
    </cfRule>
    <cfRule type="containsText" dxfId="842" priority="194" operator="containsText" text="B">
      <formula>NOT(ISERROR(SEARCH("B",D8)))</formula>
    </cfRule>
    <cfRule type="containsText" dxfId="841" priority="195" operator="containsText" text="A">
      <formula>NOT(ISERROR(SEARCH("A",D8)))</formula>
    </cfRule>
  </conditionalFormatting>
  <conditionalFormatting sqref="A56 A54 A5">
    <cfRule type="expression" dxfId="840" priority="173">
      <formula>Q:Q&gt;=80</formula>
    </cfRule>
  </conditionalFormatting>
  <conditionalFormatting sqref="C54">
    <cfRule type="cellIs" dxfId="839" priority="169" operator="equal">
      <formula>4</formula>
    </cfRule>
    <cfRule type="cellIs" dxfId="838" priority="170" operator="equal">
      <formula>3</formula>
    </cfRule>
    <cfRule type="cellIs" dxfId="837" priority="171" operator="equal">
      <formula>2</formula>
    </cfRule>
    <cfRule type="cellIs" dxfId="836" priority="172" operator="equal">
      <formula>1</formula>
    </cfRule>
  </conditionalFormatting>
  <conditionalFormatting sqref="D54">
    <cfRule type="containsText" dxfId="835" priority="162" operator="containsText" text="G">
      <formula>NOT(ISERROR(SEARCH("G",D54)))</formula>
    </cfRule>
    <cfRule type="containsText" dxfId="834" priority="163" operator="containsText" text="F">
      <formula>NOT(ISERROR(SEARCH("F",D54)))</formula>
    </cfRule>
    <cfRule type="containsText" dxfId="833" priority="164" operator="containsText" text="E">
      <formula>NOT(ISERROR(SEARCH("E",D54)))</formula>
    </cfRule>
    <cfRule type="containsText" dxfId="832" priority="165" operator="containsText" text="D">
      <formula>NOT(ISERROR(SEARCH("D",D54)))</formula>
    </cfRule>
    <cfRule type="containsText" dxfId="831" priority="166" operator="containsText" text="C">
      <formula>NOT(ISERROR(SEARCH("C",D54)))</formula>
    </cfRule>
    <cfRule type="containsText" dxfId="830" priority="167" operator="containsText" text="B">
      <formula>NOT(ISERROR(SEARCH("B",D54)))</formula>
    </cfRule>
    <cfRule type="containsText" dxfId="829" priority="168" operator="containsText" text="A">
      <formula>NOT(ISERROR(SEARCH("A",D54)))</formula>
    </cfRule>
  </conditionalFormatting>
  <conditionalFormatting sqref="C55">
    <cfRule type="cellIs" dxfId="828" priority="151" operator="equal">
      <formula>4</formula>
    </cfRule>
    <cfRule type="cellIs" dxfId="827" priority="152" operator="equal">
      <formula>3</formula>
    </cfRule>
    <cfRule type="cellIs" dxfId="826" priority="153" operator="equal">
      <formula>2</formula>
    </cfRule>
    <cfRule type="cellIs" dxfId="825" priority="154" operator="equal">
      <formula>1</formula>
    </cfRule>
  </conditionalFormatting>
  <conditionalFormatting sqref="D55">
    <cfRule type="containsText" dxfId="824" priority="155" operator="containsText" text="G">
      <formula>NOT(ISERROR(SEARCH("G",D55)))</formula>
    </cfRule>
    <cfRule type="containsText" dxfId="823" priority="156" operator="containsText" text="F">
      <formula>NOT(ISERROR(SEARCH("F",D55)))</formula>
    </cfRule>
    <cfRule type="containsText" dxfId="822" priority="157" operator="containsText" text="E">
      <formula>NOT(ISERROR(SEARCH("E",D55)))</formula>
    </cfRule>
    <cfRule type="containsText" dxfId="821" priority="158" operator="containsText" text="D">
      <formula>NOT(ISERROR(SEARCH("D",D55)))</formula>
    </cfRule>
    <cfRule type="containsText" dxfId="820" priority="159" operator="containsText" text="C">
      <formula>NOT(ISERROR(SEARCH("C",D55)))</formula>
    </cfRule>
    <cfRule type="containsText" dxfId="819" priority="160" operator="containsText" text="B">
      <formula>NOT(ISERROR(SEARCH("B",D55)))</formula>
    </cfRule>
    <cfRule type="containsText" dxfId="818" priority="161" operator="containsText" text="A">
      <formula>NOT(ISERROR(SEARCH("A",D55)))</formula>
    </cfRule>
  </conditionalFormatting>
  <conditionalFormatting sqref="C57">
    <cfRule type="cellIs" dxfId="817" priority="147" operator="equal">
      <formula>4</formula>
    </cfRule>
    <cfRule type="cellIs" dxfId="816" priority="148" operator="equal">
      <formula>3</formula>
    </cfRule>
    <cfRule type="cellIs" dxfId="815" priority="149" operator="equal">
      <formula>2</formula>
    </cfRule>
    <cfRule type="cellIs" dxfId="814" priority="150" operator="equal">
      <formula>1</formula>
    </cfRule>
  </conditionalFormatting>
  <conditionalFormatting sqref="D57">
    <cfRule type="containsText" dxfId="813" priority="140" operator="containsText" text="G">
      <formula>NOT(ISERROR(SEARCH("G",D57)))</formula>
    </cfRule>
    <cfRule type="containsText" dxfId="812" priority="141" operator="containsText" text="F">
      <formula>NOT(ISERROR(SEARCH("F",D57)))</formula>
    </cfRule>
    <cfRule type="containsText" dxfId="811" priority="142" operator="containsText" text="E">
      <formula>NOT(ISERROR(SEARCH("E",D57)))</formula>
    </cfRule>
    <cfRule type="containsText" dxfId="810" priority="143" operator="containsText" text="D">
      <formula>NOT(ISERROR(SEARCH("D",D57)))</formula>
    </cfRule>
    <cfRule type="containsText" dxfId="809" priority="144" operator="containsText" text="C">
      <formula>NOT(ISERROR(SEARCH("C",D57)))</formula>
    </cfRule>
    <cfRule type="containsText" dxfId="808" priority="145" operator="containsText" text="B">
      <formula>NOT(ISERROR(SEARCH("B",D57)))</formula>
    </cfRule>
    <cfRule type="containsText" dxfId="807" priority="146" operator="containsText" text="A">
      <formula>NOT(ISERROR(SEARCH("A",D57)))</formula>
    </cfRule>
  </conditionalFormatting>
  <conditionalFormatting sqref="A20 A47">
    <cfRule type="expression" dxfId="806" priority="128">
      <formula>H:H&gt;=80</formula>
    </cfRule>
  </conditionalFormatting>
  <conditionalFormatting sqref="C20">
    <cfRule type="cellIs" dxfId="805" priority="124" operator="equal">
      <formula>4</formula>
    </cfRule>
    <cfRule type="cellIs" dxfId="804" priority="125" operator="equal">
      <formula>3</formula>
    </cfRule>
    <cfRule type="cellIs" dxfId="803" priority="126" operator="equal">
      <formula>2</formula>
    </cfRule>
    <cfRule type="cellIs" dxfId="802" priority="127" operator="equal">
      <formula>1</formula>
    </cfRule>
  </conditionalFormatting>
  <conditionalFormatting sqref="D20">
    <cfRule type="containsText" dxfId="801" priority="117" operator="containsText" text="G">
      <formula>NOT(ISERROR(SEARCH("G",D20)))</formula>
    </cfRule>
    <cfRule type="containsText" dxfId="800" priority="118" operator="containsText" text="F">
      <formula>NOT(ISERROR(SEARCH("F",D20)))</formula>
    </cfRule>
    <cfRule type="containsText" dxfId="799" priority="119" operator="containsText" text="E">
      <formula>NOT(ISERROR(SEARCH("E",D20)))</formula>
    </cfRule>
    <cfRule type="containsText" dxfId="798" priority="120" operator="containsText" text="D">
      <formula>NOT(ISERROR(SEARCH("D",D20)))</formula>
    </cfRule>
    <cfRule type="containsText" dxfId="797" priority="121" operator="containsText" text="C">
      <formula>NOT(ISERROR(SEARCH("C",D20)))</formula>
    </cfRule>
    <cfRule type="containsText" dxfId="796" priority="122" operator="containsText" text="B">
      <formula>NOT(ISERROR(SEARCH("B",D20)))</formula>
    </cfRule>
    <cfRule type="containsText" dxfId="795" priority="123" operator="containsText" text="A">
      <formula>NOT(ISERROR(SEARCH("A",D20)))</formula>
    </cfRule>
  </conditionalFormatting>
  <conditionalFormatting sqref="C47">
    <cfRule type="cellIs" dxfId="794" priority="105" operator="equal">
      <formula>4</formula>
    </cfRule>
    <cfRule type="cellIs" dxfId="793" priority="106" operator="equal">
      <formula>3</formula>
    </cfRule>
    <cfRule type="cellIs" dxfId="792" priority="107" operator="equal">
      <formula>2</formula>
    </cfRule>
    <cfRule type="cellIs" dxfId="791" priority="108" operator="equal">
      <formula>1</formula>
    </cfRule>
  </conditionalFormatting>
  <conditionalFormatting sqref="D47">
    <cfRule type="containsText" dxfId="790" priority="109" operator="containsText" text="G">
      <formula>NOT(ISERROR(SEARCH("G",D47)))</formula>
    </cfRule>
    <cfRule type="containsText" dxfId="789" priority="110" operator="containsText" text="F">
      <formula>NOT(ISERROR(SEARCH("F",D47)))</formula>
    </cfRule>
    <cfRule type="containsText" dxfId="788" priority="111" operator="containsText" text="E">
      <formula>NOT(ISERROR(SEARCH("E",D47)))</formula>
    </cfRule>
    <cfRule type="containsText" dxfId="787" priority="112" operator="containsText" text="D">
      <formula>NOT(ISERROR(SEARCH("D",D47)))</formula>
    </cfRule>
    <cfRule type="containsText" dxfId="786" priority="113" operator="containsText" text="C">
      <formula>NOT(ISERROR(SEARCH("C",D47)))</formula>
    </cfRule>
    <cfRule type="containsText" dxfId="785" priority="114" operator="containsText" text="B">
      <formula>NOT(ISERROR(SEARCH("B",D47)))</formula>
    </cfRule>
    <cfRule type="containsText" dxfId="784" priority="115" operator="containsText" text="A">
      <formula>NOT(ISERROR(SEARCH("A",D47)))</formula>
    </cfRule>
  </conditionalFormatting>
  <conditionalFormatting sqref="C58">
    <cfRule type="cellIs" dxfId="783" priority="94" operator="equal">
      <formula>4</formula>
    </cfRule>
    <cfRule type="cellIs" dxfId="782" priority="95" operator="equal">
      <formula>3</formula>
    </cfRule>
    <cfRule type="cellIs" dxfId="781" priority="96" operator="equal">
      <formula>2</formula>
    </cfRule>
    <cfRule type="cellIs" dxfId="780" priority="97" operator="equal">
      <formula>1</formula>
    </cfRule>
  </conditionalFormatting>
  <conditionalFormatting sqref="D58">
    <cfRule type="containsText" dxfId="779" priority="98" operator="containsText" text="G">
      <formula>NOT(ISERROR(SEARCH("G",D58)))</formula>
    </cfRule>
    <cfRule type="containsText" dxfId="778" priority="99" operator="containsText" text="F">
      <formula>NOT(ISERROR(SEARCH("F",D58)))</formula>
    </cfRule>
    <cfRule type="containsText" dxfId="777" priority="100" operator="containsText" text="E">
      <formula>NOT(ISERROR(SEARCH("E",D58)))</formula>
    </cfRule>
    <cfRule type="containsText" dxfId="776" priority="101" operator="containsText" text="D">
      <formula>NOT(ISERROR(SEARCH("D",D58)))</formula>
    </cfRule>
    <cfRule type="containsText" dxfId="775" priority="102" operator="containsText" text="C">
      <formula>NOT(ISERROR(SEARCH("C",D58)))</formula>
    </cfRule>
    <cfRule type="containsText" dxfId="774" priority="103" operator="containsText" text="B">
      <formula>NOT(ISERROR(SEARCH("B",D58)))</formula>
    </cfRule>
    <cfRule type="containsText" dxfId="773" priority="104" operator="containsText" text="A">
      <formula>NOT(ISERROR(SEARCH("A",D58)))</formula>
    </cfRule>
  </conditionalFormatting>
  <conditionalFormatting sqref="A4">
    <cfRule type="expression" dxfId="772" priority="93">
      <formula>AA:AA&gt;=80</formula>
    </cfRule>
  </conditionalFormatting>
  <conditionalFormatting sqref="C4">
    <cfRule type="cellIs" dxfId="771" priority="89" operator="equal">
      <formula>4</formula>
    </cfRule>
    <cfRule type="cellIs" dxfId="770" priority="90" operator="equal">
      <formula>3</formula>
    </cfRule>
    <cfRule type="cellIs" dxfId="769" priority="91" operator="equal">
      <formula>2</formula>
    </cfRule>
    <cfRule type="cellIs" dxfId="768" priority="92" operator="equal">
      <formula>1</formula>
    </cfRule>
  </conditionalFormatting>
  <conditionalFormatting sqref="D4">
    <cfRule type="containsText" dxfId="767" priority="82" operator="containsText" text="G">
      <formula>NOT(ISERROR(SEARCH("G",D4)))</formula>
    </cfRule>
    <cfRule type="containsText" dxfId="766" priority="83" operator="containsText" text="F">
      <formula>NOT(ISERROR(SEARCH("F",D4)))</formula>
    </cfRule>
    <cfRule type="containsText" dxfId="765" priority="84" operator="containsText" text="E">
      <formula>NOT(ISERROR(SEARCH("E",D4)))</formula>
    </cfRule>
    <cfRule type="containsText" dxfId="764" priority="85" operator="containsText" text="D">
      <formula>NOT(ISERROR(SEARCH("D",D4)))</formula>
    </cfRule>
    <cfRule type="containsText" dxfId="763" priority="86" operator="containsText" text="C">
      <formula>NOT(ISERROR(SEARCH("C",D4)))</formula>
    </cfRule>
    <cfRule type="containsText" dxfId="762" priority="87" operator="containsText" text="B">
      <formula>NOT(ISERROR(SEARCH("B",D4)))</formula>
    </cfRule>
    <cfRule type="containsText" dxfId="761" priority="88" operator="containsText" text="A">
      <formula>NOT(ISERROR(SEARCH("A",D4)))</formula>
    </cfRule>
  </conditionalFormatting>
  <conditionalFormatting sqref="C5">
    <cfRule type="cellIs" dxfId="760" priority="77" operator="equal">
      <formula>4</formula>
    </cfRule>
    <cfRule type="cellIs" dxfId="759" priority="78" operator="equal">
      <formula>3</formula>
    </cfRule>
    <cfRule type="cellIs" dxfId="758" priority="79" operator="equal">
      <formula>2</formula>
    </cfRule>
    <cfRule type="cellIs" dxfId="757" priority="80" operator="equal">
      <formula>1</formula>
    </cfRule>
  </conditionalFormatting>
  <conditionalFormatting sqref="D5">
    <cfRule type="containsText" dxfId="756" priority="70" operator="containsText" text="G">
      <formula>NOT(ISERROR(SEARCH("G",D5)))</formula>
    </cfRule>
    <cfRule type="containsText" dxfId="755" priority="71" operator="containsText" text="F">
      <formula>NOT(ISERROR(SEARCH("F",D5)))</formula>
    </cfRule>
    <cfRule type="containsText" dxfId="754" priority="72" operator="containsText" text="E">
      <formula>NOT(ISERROR(SEARCH("E",D5)))</formula>
    </cfRule>
    <cfRule type="containsText" dxfId="753" priority="73" operator="containsText" text="D">
      <formula>NOT(ISERROR(SEARCH("D",D5)))</formula>
    </cfRule>
    <cfRule type="containsText" dxfId="752" priority="74" operator="containsText" text="C">
      <formula>NOT(ISERROR(SEARCH("C",D5)))</formula>
    </cfRule>
    <cfRule type="containsText" dxfId="751" priority="75" operator="containsText" text="B">
      <formula>NOT(ISERROR(SEARCH("B",D5)))</formula>
    </cfRule>
    <cfRule type="containsText" dxfId="750" priority="76" operator="containsText" text="A">
      <formula>NOT(ISERROR(SEARCH("A",D5)))</formula>
    </cfRule>
  </conditionalFormatting>
  <conditionalFormatting sqref="C10">
    <cfRule type="cellIs" dxfId="749" priority="59" operator="equal">
      <formula>4</formula>
    </cfRule>
    <cfRule type="cellIs" dxfId="748" priority="60" operator="equal">
      <formula>3</formula>
    </cfRule>
    <cfRule type="cellIs" dxfId="747" priority="61" operator="equal">
      <formula>2</formula>
    </cfRule>
    <cfRule type="cellIs" dxfId="746" priority="62" operator="equal">
      <formula>1</formula>
    </cfRule>
  </conditionalFormatting>
  <conditionalFormatting sqref="D10">
    <cfRule type="containsText" dxfId="745" priority="63" operator="containsText" text="G">
      <formula>NOT(ISERROR(SEARCH("G",D10)))</formula>
    </cfRule>
    <cfRule type="containsText" dxfId="744" priority="64" operator="containsText" text="F">
      <formula>NOT(ISERROR(SEARCH("F",D10)))</formula>
    </cfRule>
    <cfRule type="containsText" dxfId="743" priority="65" operator="containsText" text="E">
      <formula>NOT(ISERROR(SEARCH("E",D10)))</formula>
    </cfRule>
    <cfRule type="containsText" dxfId="742" priority="66" operator="containsText" text="D">
      <formula>NOT(ISERROR(SEARCH("D",D10)))</formula>
    </cfRule>
    <cfRule type="containsText" dxfId="741" priority="67" operator="containsText" text="C">
      <formula>NOT(ISERROR(SEARCH("C",D10)))</formula>
    </cfRule>
    <cfRule type="containsText" dxfId="740" priority="68" operator="containsText" text="B">
      <formula>NOT(ISERROR(SEARCH("B",D10)))</formula>
    </cfRule>
    <cfRule type="containsText" dxfId="739" priority="69" operator="containsText" text="A">
      <formula>NOT(ISERROR(SEARCH("A",D10)))</formula>
    </cfRule>
  </conditionalFormatting>
  <conditionalFormatting sqref="J28:J29">
    <cfRule type="expression" dxfId="738" priority="58">
      <formula>P:P&gt;=80</formula>
    </cfRule>
  </conditionalFormatting>
  <conditionalFormatting sqref="L27:L29">
    <cfRule type="cellIs" dxfId="737" priority="54" operator="equal">
      <formula>4</formula>
    </cfRule>
    <cfRule type="cellIs" dxfId="736" priority="55" operator="equal">
      <formula>3</formula>
    </cfRule>
    <cfRule type="cellIs" dxfId="735" priority="56" operator="equal">
      <formula>2</formula>
    </cfRule>
    <cfRule type="cellIs" dxfId="734" priority="57" operator="equal">
      <formula>1</formula>
    </cfRule>
  </conditionalFormatting>
  <conditionalFormatting sqref="M27:M29">
    <cfRule type="containsText" dxfId="733" priority="47" operator="containsText" text="G">
      <formula>NOT(ISERROR(SEARCH("G",M27)))</formula>
    </cfRule>
    <cfRule type="containsText" dxfId="732" priority="48" operator="containsText" text="F">
      <formula>NOT(ISERROR(SEARCH("F",M27)))</formula>
    </cfRule>
    <cfRule type="containsText" dxfId="731" priority="49" operator="containsText" text="E">
      <formula>NOT(ISERROR(SEARCH("E",M27)))</formula>
    </cfRule>
    <cfRule type="containsText" dxfId="730" priority="50" operator="containsText" text="D">
      <formula>NOT(ISERROR(SEARCH("D",M27)))</formula>
    </cfRule>
    <cfRule type="containsText" dxfId="729" priority="51" operator="containsText" text="C">
      <formula>NOT(ISERROR(SEARCH("C",M27)))</formula>
    </cfRule>
    <cfRule type="containsText" dxfId="728" priority="52" operator="containsText" text="B">
      <formula>NOT(ISERROR(SEARCH("B",M27)))</formula>
    </cfRule>
    <cfRule type="containsText" dxfId="727" priority="53" operator="containsText" text="A">
      <formula>NOT(ISERROR(SEARCH("A",M27)))</formula>
    </cfRule>
  </conditionalFormatting>
  <conditionalFormatting sqref="J30">
    <cfRule type="expression" dxfId="726" priority="46">
      <formula>P:P&gt;=80</formula>
    </cfRule>
  </conditionalFormatting>
  <conditionalFormatting sqref="L30">
    <cfRule type="cellIs" dxfId="725" priority="42" operator="equal">
      <formula>4</formula>
    </cfRule>
    <cfRule type="cellIs" dxfId="724" priority="43" operator="equal">
      <formula>3</formula>
    </cfRule>
    <cfRule type="cellIs" dxfId="723" priority="44" operator="equal">
      <formula>2</formula>
    </cfRule>
    <cfRule type="cellIs" dxfId="722" priority="45" operator="equal">
      <formula>1</formula>
    </cfRule>
  </conditionalFormatting>
  <conditionalFormatting sqref="M30">
    <cfRule type="containsText" dxfId="721" priority="35" operator="containsText" text="G">
      <formula>NOT(ISERROR(SEARCH("G",M30)))</formula>
    </cfRule>
    <cfRule type="containsText" dxfId="720" priority="36" operator="containsText" text="F">
      <formula>NOT(ISERROR(SEARCH("F",M30)))</formula>
    </cfRule>
    <cfRule type="containsText" dxfId="719" priority="37" operator="containsText" text="E">
      <formula>NOT(ISERROR(SEARCH("E",M30)))</formula>
    </cfRule>
    <cfRule type="containsText" dxfId="718" priority="38" operator="containsText" text="D">
      <formula>NOT(ISERROR(SEARCH("D",M30)))</formula>
    </cfRule>
    <cfRule type="containsText" dxfId="717" priority="39" operator="containsText" text="C">
      <formula>NOT(ISERROR(SEARCH("C",M30)))</formula>
    </cfRule>
    <cfRule type="containsText" dxfId="716" priority="40" operator="containsText" text="B">
      <formula>NOT(ISERROR(SEARCH("B",M30)))</formula>
    </cfRule>
    <cfRule type="containsText" dxfId="715" priority="41" operator="containsText" text="A">
      <formula>NOT(ISERROR(SEARCH("A",M30)))</formula>
    </cfRule>
  </conditionalFormatting>
  <conditionalFormatting sqref="L33">
    <cfRule type="cellIs" dxfId="714" priority="30" operator="equal">
      <formula>4</formula>
    </cfRule>
    <cfRule type="cellIs" dxfId="713" priority="31" operator="equal">
      <formula>3</formula>
    </cfRule>
    <cfRule type="cellIs" dxfId="712" priority="32" operator="equal">
      <formula>2</formula>
    </cfRule>
    <cfRule type="cellIs" dxfId="711" priority="33" operator="equal">
      <formula>1</formula>
    </cfRule>
  </conditionalFormatting>
  <conditionalFormatting sqref="M33">
    <cfRule type="containsText" dxfId="710" priority="23" operator="containsText" text="G">
      <formula>NOT(ISERROR(SEARCH("G",M33)))</formula>
    </cfRule>
    <cfRule type="containsText" dxfId="709" priority="24" operator="containsText" text="F">
      <formula>NOT(ISERROR(SEARCH("F",M33)))</formula>
    </cfRule>
    <cfRule type="containsText" dxfId="708" priority="25" operator="containsText" text="E">
      <formula>NOT(ISERROR(SEARCH("E",M33)))</formula>
    </cfRule>
    <cfRule type="containsText" dxfId="707" priority="26" operator="containsText" text="D">
      <formula>NOT(ISERROR(SEARCH("D",M33)))</formula>
    </cfRule>
    <cfRule type="containsText" dxfId="706" priority="27" operator="containsText" text="C">
      <formula>NOT(ISERROR(SEARCH("C",M33)))</formula>
    </cfRule>
    <cfRule type="containsText" dxfId="705" priority="28" operator="containsText" text="B">
      <formula>NOT(ISERROR(SEARCH("B",M33)))</formula>
    </cfRule>
    <cfRule type="containsText" dxfId="704" priority="29" operator="containsText" text="A">
      <formula>NOT(ISERROR(SEARCH("A",M33)))</formula>
    </cfRule>
  </conditionalFormatting>
  <conditionalFormatting sqref="L32">
    <cfRule type="cellIs" dxfId="703" priority="19" operator="equal">
      <formula>4</formula>
    </cfRule>
    <cfRule type="cellIs" dxfId="702" priority="20" operator="equal">
      <formula>3</formula>
    </cfRule>
    <cfRule type="cellIs" dxfId="701" priority="21" operator="equal">
      <formula>2</formula>
    </cfRule>
    <cfRule type="cellIs" dxfId="700" priority="22" operator="equal">
      <formula>1</formula>
    </cfRule>
  </conditionalFormatting>
  <conditionalFormatting sqref="M32">
    <cfRule type="containsText" dxfId="699" priority="12" operator="containsText" text="G">
      <formula>NOT(ISERROR(SEARCH("G",M32)))</formula>
    </cfRule>
    <cfRule type="containsText" dxfId="698" priority="13" operator="containsText" text="F">
      <formula>NOT(ISERROR(SEARCH("F",M32)))</formula>
    </cfRule>
    <cfRule type="containsText" dxfId="697" priority="14" operator="containsText" text="E">
      <formula>NOT(ISERROR(SEARCH("E",M32)))</formula>
    </cfRule>
    <cfRule type="containsText" dxfId="696" priority="15" operator="containsText" text="D">
      <formula>NOT(ISERROR(SEARCH("D",M32)))</formula>
    </cfRule>
    <cfRule type="containsText" dxfId="695" priority="16" operator="containsText" text="C">
      <formula>NOT(ISERROR(SEARCH("C",M32)))</formula>
    </cfRule>
    <cfRule type="containsText" dxfId="694" priority="17" operator="containsText" text="B">
      <formula>NOT(ISERROR(SEARCH("B",M32)))</formula>
    </cfRule>
    <cfRule type="containsText" dxfId="693" priority="18" operator="containsText" text="A">
      <formula>NOT(ISERROR(SEARCH("A",M32)))</formula>
    </cfRule>
  </conditionalFormatting>
  <conditionalFormatting sqref="L26">
    <cfRule type="cellIs" dxfId="692" priority="8" operator="equal">
      <formula>4</formula>
    </cfRule>
    <cfRule type="cellIs" dxfId="691" priority="9" operator="equal">
      <formula>3</formula>
    </cfRule>
    <cfRule type="cellIs" dxfId="690" priority="10" operator="equal">
      <formula>2</formula>
    </cfRule>
    <cfRule type="cellIs" dxfId="689" priority="11" operator="equal">
      <formula>1</formula>
    </cfRule>
  </conditionalFormatting>
  <conditionalFormatting sqref="M26">
    <cfRule type="containsText" dxfId="688" priority="1" operator="containsText" text="G">
      <formula>NOT(ISERROR(SEARCH("G",M26)))</formula>
    </cfRule>
    <cfRule type="containsText" dxfId="687" priority="2" operator="containsText" text="F">
      <formula>NOT(ISERROR(SEARCH("F",M26)))</formula>
    </cfRule>
    <cfRule type="containsText" dxfId="686" priority="3" operator="containsText" text="E">
      <formula>NOT(ISERROR(SEARCH("E",M26)))</formula>
    </cfRule>
    <cfRule type="containsText" dxfId="685" priority="4" operator="containsText" text="D">
      <formula>NOT(ISERROR(SEARCH("D",M26)))</formula>
    </cfRule>
    <cfRule type="containsText" dxfId="684" priority="5" operator="containsText" text="C">
      <formula>NOT(ISERROR(SEARCH("C",M26)))</formula>
    </cfRule>
    <cfRule type="containsText" dxfId="683" priority="6" operator="containsText" text="B">
      <formula>NOT(ISERROR(SEARCH("B",M26)))</formula>
    </cfRule>
    <cfRule type="containsText" dxfId="682" priority="7" operator="containsText" text="A">
      <formula>NOT(ISERROR(SEARCH("A",M26)))</formula>
    </cfRule>
  </conditionalFormatting>
  <printOptions horizontalCentered="1" verticalCentered="1"/>
  <pageMargins left="0.7" right="0.45" top="0.25" bottom="0.25" header="0" footer="0"/>
  <pageSetup scale="7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0"/>
  <sheetViews>
    <sheetView topLeftCell="A41" workbookViewId="0">
      <selection activeCell="F37" sqref="F37"/>
    </sheetView>
  </sheetViews>
  <sheetFormatPr defaultColWidth="14.42578125" defaultRowHeight="15" customHeight="1"/>
  <cols>
    <col min="1" max="1" width="24" bestFit="1" customWidth="1"/>
    <col min="2" max="2" width="11.140625" customWidth="1"/>
    <col min="3" max="3" width="10.28515625" customWidth="1"/>
    <col min="4" max="4" width="9.28515625" customWidth="1"/>
    <col min="5" max="5" width="9" customWidth="1"/>
    <col min="6" max="6" width="10.140625" customWidth="1"/>
    <col min="7" max="7" width="12.85546875" customWidth="1"/>
    <col min="8" max="8" width="11.85546875" hidden="1" customWidth="1"/>
    <col min="9" max="9" width="11.42578125" customWidth="1"/>
    <col min="10" max="10" width="25.28515625" bestFit="1" customWidth="1"/>
  </cols>
  <sheetData>
    <row r="1" spans="1:9" ht="35.25">
      <c r="A1" s="269" t="s">
        <v>160</v>
      </c>
      <c r="B1" s="270"/>
      <c r="C1" s="8" t="s">
        <v>132</v>
      </c>
      <c r="D1" s="9" t="s">
        <v>35</v>
      </c>
      <c r="E1" s="10">
        <f>G3+G14+G25+F37+G40+G51</f>
        <v>75.399999999999991</v>
      </c>
      <c r="F1" s="11" t="s">
        <v>36</v>
      </c>
      <c r="G1" s="50">
        <f>G5+G16+G27+G37+G42+G53</f>
        <v>66.599999999999994</v>
      </c>
      <c r="H1" s="183">
        <f>(H4+H5+H6+H7+H8+H9+H10+H11+H16+H17+H18+H19+H20+H21+H22+H15+H27+H28+H29+H30+H31+H32+H33+H26+H41+H37+H44+H45+H46+H47+H48+H52+H42+H43+H55+H56+H57+H58+H59+H53+H54)/41</f>
        <v>0.76951219512195124</v>
      </c>
      <c r="I1" s="13"/>
    </row>
    <row r="2" spans="1:9" ht="20.25">
      <c r="A2" s="271" t="s">
        <v>2</v>
      </c>
      <c r="B2" s="272"/>
      <c r="C2" s="273" t="str">
        <f>A1</f>
        <v>MIKEL</v>
      </c>
      <c r="D2" s="272"/>
      <c r="E2" s="270"/>
      <c r="F2" s="14" t="s">
        <v>37</v>
      </c>
      <c r="G2" s="15" t="s">
        <v>38</v>
      </c>
      <c r="H2" s="286" t="s">
        <v>39</v>
      </c>
      <c r="I2" s="13"/>
    </row>
    <row r="3" spans="1:9" ht="26.25">
      <c r="A3" s="109" t="s">
        <v>0</v>
      </c>
      <c r="B3" s="110" t="s">
        <v>40</v>
      </c>
      <c r="C3" s="111" t="s">
        <v>41</v>
      </c>
      <c r="D3" s="112" t="s">
        <v>42</v>
      </c>
      <c r="E3" s="113" t="s">
        <v>43</v>
      </c>
      <c r="F3" s="17">
        <f>SUM(E4:E12)+F11</f>
        <v>1.4</v>
      </c>
      <c r="G3" s="18">
        <f>10+F3+F5+F11</f>
        <v>12.8</v>
      </c>
      <c r="H3" s="275"/>
      <c r="I3" s="13"/>
    </row>
    <row r="4" spans="1:9" ht="15.75">
      <c r="A4" s="23" t="s">
        <v>147</v>
      </c>
      <c r="B4" s="29">
        <v>3</v>
      </c>
      <c r="C4" s="35">
        <v>3</v>
      </c>
      <c r="D4" s="171" t="s">
        <v>100</v>
      </c>
      <c r="E4" s="172">
        <f>IF(D4="F",0.6,IF(D4="C",0.3,IF(D4="D",0.4,IF(D4="E",0.5,IF(D4="A",0.1,IF(D4="G",0.7,IF(D4="H",0.8,IF(D4="B",0.2,""))))))))</f>
        <v>0.3</v>
      </c>
      <c r="F4" s="20" t="s">
        <v>48</v>
      </c>
      <c r="G4" s="21" t="s">
        <v>49</v>
      </c>
      <c r="H4" s="22">
        <v>0.5</v>
      </c>
      <c r="I4" s="13"/>
    </row>
    <row r="5" spans="1:9" ht="15.75">
      <c r="A5" s="91" t="s">
        <v>161</v>
      </c>
      <c r="B5" s="92">
        <v>3</v>
      </c>
      <c r="C5" s="25">
        <v>4</v>
      </c>
      <c r="D5" s="140" t="s">
        <v>100</v>
      </c>
      <c r="E5" s="172">
        <f>IF(D5="F",0.6,IF(D5="C",0.3,IF(D5="D",0.4,IF(D5="E",0.5,IF(D5="A",0.1,IF(D5="G",0.7,IF(D5="H",0.8,IF(D5="B",0.2,""))))))))</f>
        <v>0.3</v>
      </c>
      <c r="F5" s="26">
        <v>1.4</v>
      </c>
      <c r="G5" s="27">
        <f>G3-1.5</f>
        <v>11.3</v>
      </c>
      <c r="H5" s="22">
        <v>0.6</v>
      </c>
      <c r="I5" s="13"/>
    </row>
    <row r="6" spans="1:9" ht="15.75">
      <c r="A6" s="23" t="s">
        <v>162</v>
      </c>
      <c r="B6" s="29">
        <v>13</v>
      </c>
      <c r="C6" s="35">
        <v>2</v>
      </c>
      <c r="D6" s="171" t="s">
        <v>47</v>
      </c>
      <c r="E6" s="172">
        <f>IF(D6="F",0.6,IF(D6="C",0.3,IF(D6="D",0.4,IF(D6="E",0.5,IF(D6="A",0.1,IF(D6="G",0.7,IF(D6="H",0.8,IF(D6="B",0.2,""))))))))</f>
        <v>0.1</v>
      </c>
      <c r="H6" s="22">
        <v>0.85</v>
      </c>
      <c r="I6" s="13"/>
    </row>
    <row r="7" spans="1:9" ht="15.75">
      <c r="A7" s="23" t="s">
        <v>133</v>
      </c>
      <c r="B7" s="29">
        <v>79</v>
      </c>
      <c r="C7" s="34">
        <v>1</v>
      </c>
      <c r="D7" s="107" t="s">
        <v>47</v>
      </c>
      <c r="E7" s="172">
        <f>IF(D7="F",0.6,IF(D7="C",0.3,IF(D7="D",0.4,IF(D7="E",0.5,IF(D7="A",0.1,IF(D7="G",0.7,IF(D7="H",0.8,IF(D7="B",0.2,""))))))))</f>
        <v>0.1</v>
      </c>
      <c r="F7" s="31"/>
      <c r="G7" s="31"/>
      <c r="H7" s="22">
        <v>0.8</v>
      </c>
      <c r="I7" s="13"/>
    </row>
    <row r="8" spans="1:9" ht="15.75">
      <c r="A8" s="91" t="s">
        <v>107</v>
      </c>
      <c r="B8" s="92">
        <v>13</v>
      </c>
      <c r="C8" s="35">
        <v>3</v>
      </c>
      <c r="D8" s="173" t="s">
        <v>47</v>
      </c>
      <c r="E8" s="172">
        <f>IF(D8="F",0.6,IF(D8="C",0.3,IF(D8="D",0.4,IF(D8="E",0.5,IF(D8="A",0.1,IF(D8="G",0.7,IF(D8="H",0.8,IF(D8="B",0.2,""))))))))</f>
        <v>0.1</v>
      </c>
      <c r="F8" s="31"/>
      <c r="G8" s="31"/>
      <c r="H8" s="22">
        <v>0.85</v>
      </c>
      <c r="I8" s="13"/>
    </row>
    <row r="9" spans="1:9" ht="15.75">
      <c r="A9" s="23" t="s">
        <v>50</v>
      </c>
      <c r="B9" s="24">
        <v>9</v>
      </c>
      <c r="C9" s="34">
        <v>4</v>
      </c>
      <c r="D9" s="107" t="s">
        <v>51</v>
      </c>
      <c r="E9" s="172">
        <f>IF(D9="F",0.6,IF(D9="C",0.3,IF(D9="D",0.4,IF(D9="E",0.5,IF(D9="A",0.1,IF(D9="G",0.7,IF(D9="H",0.8,IF(D9="B",0.2,""))))))))</f>
        <v>0.2</v>
      </c>
      <c r="F9" s="31"/>
      <c r="G9" s="31"/>
      <c r="H9" s="22">
        <v>0.95</v>
      </c>
      <c r="I9" s="13"/>
    </row>
    <row r="10" spans="1:9" ht="15.75">
      <c r="A10" s="124" t="s">
        <v>52</v>
      </c>
      <c r="B10" s="24">
        <v>61</v>
      </c>
      <c r="C10" s="35">
        <v>1</v>
      </c>
      <c r="D10" s="173" t="s">
        <v>47</v>
      </c>
      <c r="E10" s="172">
        <f>IF(D10="F",0.6,IF(D10="C",0.3,IF(D10="D",0.4,IF(D10="E",0.5,IF(D10="A",0.1,IF(D10="G",0.7,IF(D10="H",0.8,IF(D10="B",0.2,""))))))))</f>
        <v>0.1</v>
      </c>
      <c r="F10" s="33" t="s">
        <v>56</v>
      </c>
      <c r="G10" s="31"/>
      <c r="H10" s="22">
        <v>0.95</v>
      </c>
      <c r="I10" s="13"/>
    </row>
    <row r="11" spans="1:9" ht="15.75">
      <c r="A11" s="23" t="s">
        <v>57</v>
      </c>
      <c r="B11" s="192">
        <v>2</v>
      </c>
      <c r="C11" s="35">
        <v>3</v>
      </c>
      <c r="D11" s="140" t="s">
        <v>51</v>
      </c>
      <c r="E11" s="172">
        <f>IF(D11="F",0.6,IF(D11="C",0.3,IF(D11="D",0.4,IF(D11="E",0.5,IF(D11="A",0.1,IF(D11="G",0.7,IF(D11="H",0.8,IF(D11="B",0.2,""))))))))</f>
        <v>0.2</v>
      </c>
      <c r="F11" s="36"/>
      <c r="G11" s="31"/>
      <c r="H11" s="22">
        <v>0.9</v>
      </c>
      <c r="I11" s="13"/>
    </row>
    <row r="12" spans="1:9">
      <c r="B12" s="37"/>
      <c r="D12" s="38"/>
      <c r="E12" s="39"/>
      <c r="G12" s="31"/>
      <c r="H12" s="22"/>
      <c r="I12" s="13"/>
    </row>
    <row r="13" spans="1:9" ht="20.25">
      <c r="A13" s="271" t="s">
        <v>58</v>
      </c>
      <c r="B13" s="272"/>
      <c r="C13" s="273" t="str">
        <f>A1</f>
        <v>MIKEL</v>
      </c>
      <c r="D13" s="272"/>
      <c r="E13" s="270"/>
      <c r="F13" s="14" t="s">
        <v>37</v>
      </c>
      <c r="G13" s="55" t="s">
        <v>38</v>
      </c>
      <c r="H13" s="274" t="s">
        <v>39</v>
      </c>
      <c r="I13" s="13"/>
    </row>
    <row r="14" spans="1:9" ht="26.25">
      <c r="A14" s="109" t="s">
        <v>0</v>
      </c>
      <c r="B14" s="110" t="s">
        <v>40</v>
      </c>
      <c r="C14" s="111" t="s">
        <v>41</v>
      </c>
      <c r="D14" s="112" t="s">
        <v>42</v>
      </c>
      <c r="E14" s="113" t="s">
        <v>43</v>
      </c>
      <c r="F14" s="17">
        <f>SUM(E15:E22)</f>
        <v>0.99999999999999989</v>
      </c>
      <c r="G14" s="56">
        <f>10+F14+F16+F22</f>
        <v>12.2</v>
      </c>
      <c r="H14" s="275"/>
      <c r="I14" s="13"/>
    </row>
    <row r="15" spans="1:9">
      <c r="A15" s="23" t="s">
        <v>62</v>
      </c>
      <c r="B15" s="29">
        <v>1</v>
      </c>
      <c r="C15" s="35">
        <v>1</v>
      </c>
      <c r="D15" s="171" t="s">
        <v>47</v>
      </c>
      <c r="E15" s="172">
        <f>IF(D15="F",0.6,IF(D15="C",0.3,IF(D15="D",0.4,IF(D15="E",0.5,IF(D15="A",0.1,IF(D15="G",0.7,IF(D15="H",0.8,IF(D15="B",0.2,""))))))))</f>
        <v>0.1</v>
      </c>
      <c r="F15" s="20" t="s">
        <v>48</v>
      </c>
      <c r="G15" s="57" t="s">
        <v>49</v>
      </c>
      <c r="H15" s="22">
        <v>0.8</v>
      </c>
      <c r="I15" s="13"/>
    </row>
    <row r="16" spans="1:9">
      <c r="A16" s="23" t="s">
        <v>63</v>
      </c>
      <c r="B16" s="29">
        <v>1</v>
      </c>
      <c r="C16" s="25">
        <v>2</v>
      </c>
      <c r="D16" s="107" t="s">
        <v>47</v>
      </c>
      <c r="E16" s="172">
        <f t="shared" ref="E16:E22" si="0">IF(D16="F",0.6,IF(D16="C",0.3,IF(D16="D",0.4,IF(D16="E",0.5,IF(D16="A",0.1,IF(D16="G",0.7,IF(D16="H",0.8,IF(D16="B",0.2,""))))))))</f>
        <v>0.1</v>
      </c>
      <c r="F16" s="26">
        <v>1.2</v>
      </c>
      <c r="G16" s="59">
        <f>G14-1.5</f>
        <v>10.7</v>
      </c>
      <c r="H16" s="22">
        <v>0.85</v>
      </c>
      <c r="I16" s="13"/>
    </row>
    <row r="17" spans="1:9" ht="15.75">
      <c r="A17" s="68" t="s">
        <v>163</v>
      </c>
      <c r="B17" s="78">
        <v>38</v>
      </c>
      <c r="C17" s="193">
        <v>3</v>
      </c>
      <c r="D17" s="194" t="s">
        <v>51</v>
      </c>
      <c r="E17" s="195">
        <f>IF(D17="F",0.6,IF(D17="C",0.3,IF(D17="D",0.4,IF(D17="E",0.5,IF(D17="A",0.1,IF(D17="G",0.7,IF(D17="H",0.8,IF(D17="B",0.2,""))))))))</f>
        <v>0.2</v>
      </c>
      <c r="F17" s="31"/>
      <c r="G17" s="60"/>
      <c r="H17" s="22">
        <v>0.65</v>
      </c>
      <c r="I17" s="13"/>
    </row>
    <row r="18" spans="1:9" ht="15.75">
      <c r="A18" s="23" t="s">
        <v>164</v>
      </c>
      <c r="B18" s="29">
        <v>13</v>
      </c>
      <c r="C18" s="34">
        <v>2</v>
      </c>
      <c r="D18" s="184" t="s">
        <v>47</v>
      </c>
      <c r="E18" s="172">
        <f>IF(D18="F",0.6,IF(D18="C",0.3,IF(D18="D",0.4,IF(D18="E",0.5,IF(D18="A",0.1,IF(D18="G",0.7,IF(D18="H",0.8,IF(D18="B",0.2,""))))))))</f>
        <v>0.1</v>
      </c>
      <c r="F18" s="90"/>
      <c r="G18" s="60"/>
      <c r="H18" s="22">
        <v>0.6</v>
      </c>
      <c r="I18" s="13"/>
    </row>
    <row r="19" spans="1:9" ht="15.75">
      <c r="A19" s="23" t="s">
        <v>121</v>
      </c>
      <c r="B19" s="29">
        <v>26</v>
      </c>
      <c r="C19" s="35">
        <v>2</v>
      </c>
      <c r="D19" s="25" t="s">
        <v>51</v>
      </c>
      <c r="E19" s="172">
        <f t="shared" ref="E19:E20" si="1">IF(D19="F",0.6,IF(D19="C",0.3,IF(D19="D",0.4,IF(D19="E",0.5,IF(D19="A",0.1,IF(D19="G",0.7,IF(D19="H",0.8,IF(D19="B",0.2,""))))))))</f>
        <v>0.2</v>
      </c>
      <c r="F19" s="31"/>
      <c r="G19" s="60"/>
      <c r="H19" s="22">
        <v>0.85</v>
      </c>
      <c r="I19" s="13"/>
    </row>
    <row r="20" spans="1:9" ht="15.75">
      <c r="A20" s="23" t="s">
        <v>59</v>
      </c>
      <c r="B20" s="29">
        <v>7</v>
      </c>
      <c r="C20" s="34">
        <v>2</v>
      </c>
      <c r="D20" s="184" t="s">
        <v>47</v>
      </c>
      <c r="E20" s="172">
        <f>IF(D20="F",0.6,IF(D20="C",0.3,IF(D20="D",0.4,IF(D20="E",0.5,IF(D20="A",0.1,IF(D20="G",0.7,IF(D20="H",0.8,IF(D20="B",0.2,""))))))))</f>
        <v>0.1</v>
      </c>
      <c r="F20" s="90"/>
      <c r="G20" s="60"/>
      <c r="H20" s="22">
        <v>0.5</v>
      </c>
      <c r="I20" s="13"/>
    </row>
    <row r="21" spans="1:9" ht="15.75" customHeight="1">
      <c r="A21" s="23" t="s">
        <v>60</v>
      </c>
      <c r="B21" s="29">
        <v>25</v>
      </c>
      <c r="C21" s="35">
        <v>2</v>
      </c>
      <c r="D21" s="25" t="s">
        <v>47</v>
      </c>
      <c r="E21" s="190">
        <f t="shared" si="0"/>
        <v>0.1</v>
      </c>
      <c r="F21" s="61" t="s">
        <v>115</v>
      </c>
      <c r="G21" s="152"/>
      <c r="H21" s="22">
        <v>0.95</v>
      </c>
      <c r="I21" s="13"/>
    </row>
    <row r="22" spans="1:9" ht="15.75" customHeight="1">
      <c r="A22" s="23" t="s">
        <v>65</v>
      </c>
      <c r="B22" s="29">
        <v>1</v>
      </c>
      <c r="C22" s="35">
        <v>4</v>
      </c>
      <c r="D22" s="140" t="s">
        <v>47</v>
      </c>
      <c r="E22" s="190">
        <f t="shared" si="0"/>
        <v>0.1</v>
      </c>
      <c r="F22" s="62"/>
      <c r="G22" s="152"/>
      <c r="H22" s="22">
        <v>0.9</v>
      </c>
      <c r="I22" s="13"/>
    </row>
    <row r="23" spans="1:9" ht="15.75" customHeight="1">
      <c r="B23" s="37"/>
      <c r="F23" s="108"/>
      <c r="G23" s="31"/>
      <c r="H23" s="41"/>
      <c r="I23" s="13"/>
    </row>
    <row r="24" spans="1:9" ht="15.75" customHeight="1">
      <c r="A24" s="271" t="s">
        <v>66</v>
      </c>
      <c r="B24" s="272"/>
      <c r="C24" s="273" t="str">
        <f>A1</f>
        <v>MIKEL</v>
      </c>
      <c r="D24" s="272"/>
      <c r="E24" s="270"/>
      <c r="F24" s="14" t="s">
        <v>37</v>
      </c>
      <c r="G24" s="15" t="s">
        <v>38</v>
      </c>
      <c r="H24" s="274" t="s">
        <v>39</v>
      </c>
      <c r="I24" s="13"/>
    </row>
    <row r="25" spans="1:9" ht="30" customHeight="1">
      <c r="A25" s="109" t="s">
        <v>0</v>
      </c>
      <c r="B25" s="110" t="s">
        <v>40</v>
      </c>
      <c r="C25" s="111" t="s">
        <v>41</v>
      </c>
      <c r="D25" s="112" t="s">
        <v>42</v>
      </c>
      <c r="E25" s="113" t="s">
        <v>43</v>
      </c>
      <c r="F25" s="17">
        <f>SUM(E26:E33)</f>
        <v>1.5</v>
      </c>
      <c r="G25" s="18">
        <f>10+F25+F27+F33</f>
        <v>12.8</v>
      </c>
      <c r="H25" s="275"/>
      <c r="I25" s="13"/>
    </row>
    <row r="26" spans="1:9" ht="15.75" customHeight="1">
      <c r="A26" s="23" t="s">
        <v>153</v>
      </c>
      <c r="B26" s="29">
        <v>8</v>
      </c>
      <c r="C26" s="35">
        <v>3</v>
      </c>
      <c r="D26" s="171" t="s">
        <v>51</v>
      </c>
      <c r="E26" s="172">
        <f>IF(D26="F",0.6,IF(D26="C",0.3,IF(D26="D",0.4,IF(D26="E",0.5,IF(D26="A",0.1,IF(D26="G",0.7,IF(D26="H",0.8,IF(D26="B",0.2,""))))))))</f>
        <v>0.2</v>
      </c>
      <c r="F26" s="20" t="s">
        <v>48</v>
      </c>
      <c r="G26" s="21" t="s">
        <v>49</v>
      </c>
      <c r="H26" s="22">
        <v>0.65</v>
      </c>
      <c r="I26" s="13"/>
    </row>
    <row r="27" spans="1:9" ht="15.75" customHeight="1">
      <c r="A27" s="23" t="s">
        <v>137</v>
      </c>
      <c r="B27" s="29">
        <v>68</v>
      </c>
      <c r="C27" s="30">
        <v>2</v>
      </c>
      <c r="D27" s="140" t="s">
        <v>100</v>
      </c>
      <c r="E27" s="172">
        <f t="shared" ref="E27" si="2">IF(D27="F",0.6,IF(D27="C",0.3,IF(D27="D",0.4,IF(D27="E",0.5,IF(D27="A",0.1,IF(D27="G",0.7,IF(D27="H",0.8,IF(D27="B",0.2,""))))))))</f>
        <v>0.3</v>
      </c>
      <c r="F27" s="26">
        <v>1.3</v>
      </c>
      <c r="G27" s="27">
        <f>G25-1.5</f>
        <v>11.3</v>
      </c>
      <c r="H27" s="22">
        <v>0.95</v>
      </c>
      <c r="I27" s="13"/>
    </row>
    <row r="28" spans="1:9" ht="15.75" customHeight="1">
      <c r="A28" s="23" t="s">
        <v>138</v>
      </c>
      <c r="B28" s="29">
        <v>7</v>
      </c>
      <c r="C28" s="25">
        <v>2</v>
      </c>
      <c r="D28" s="107" t="s">
        <v>47</v>
      </c>
      <c r="E28" s="172">
        <f>IF(D28="F",0.6,IF(D28="C",0.3,IF(D28="D",0.4,IF(D28="E",0.5,IF(D28="A",0.1,IF(D28="G",0.7,IF(D28="H",0.8,IF(D28="B",0.2,""))))))))</f>
        <v>0.1</v>
      </c>
      <c r="F28" s="31"/>
      <c r="G28" s="31"/>
      <c r="H28" s="22">
        <v>0.95</v>
      </c>
      <c r="I28" s="13"/>
    </row>
    <row r="29" spans="1:9" ht="15.75" customHeight="1">
      <c r="A29" s="23" t="s">
        <v>70</v>
      </c>
      <c r="B29" s="29">
        <v>31</v>
      </c>
      <c r="C29" s="25">
        <v>1</v>
      </c>
      <c r="D29" s="140" t="s">
        <v>47</v>
      </c>
      <c r="E29" s="172">
        <f>IF(D29="F",0.6,IF(D29="C",0.3,IF(D29="D",0.4,IF(D29="E",0.5,IF(D29="A",0.1,IF(D29="G",0.7,IF(D29="H",0.8,IF(D29="B",0.2,""))))))))</f>
        <v>0.1</v>
      </c>
      <c r="F29" s="31"/>
      <c r="G29" s="31"/>
      <c r="H29" s="22">
        <v>0.85</v>
      </c>
      <c r="I29" s="13"/>
    </row>
    <row r="30" spans="1:9" ht="15.75" customHeight="1">
      <c r="A30" s="23" t="s">
        <v>123</v>
      </c>
      <c r="B30" s="29">
        <v>1</v>
      </c>
      <c r="C30" s="34">
        <v>2</v>
      </c>
      <c r="D30" s="107" t="s">
        <v>47</v>
      </c>
      <c r="E30" s="172">
        <f>IF(D30="F",0.6,IF(D30="C",0.3,IF(D30="D",0.4,IF(D30="E",0.5,IF(D30="A",0.1,IF(D30="G",0.7,IF(D30="H",0.8,IF(D30="B",0.2,""))))))))</f>
        <v>0.1</v>
      </c>
      <c r="F30" s="31"/>
      <c r="G30" s="31"/>
      <c r="H30" s="22">
        <v>0.85</v>
      </c>
      <c r="I30" s="13"/>
    </row>
    <row r="31" spans="1:9" ht="15.75" customHeight="1">
      <c r="A31" s="23" t="s">
        <v>124</v>
      </c>
      <c r="B31" s="29">
        <v>26</v>
      </c>
      <c r="C31" s="35">
        <v>2</v>
      </c>
      <c r="D31" s="173" t="s">
        <v>51</v>
      </c>
      <c r="E31" s="172">
        <f>IF(D31="F",0.6,IF(D31="C",0.3,IF(D31="D",0.4,IF(D31="E",0.5,IF(D31="A",0.1,IF(D31="G",0.7,IF(D31="H",0.8,IF(D31="B",0.2,""))))))))</f>
        <v>0.2</v>
      </c>
      <c r="F31" s="31"/>
      <c r="G31" s="31"/>
      <c r="H31" s="22">
        <v>0.9</v>
      </c>
      <c r="I31" s="13"/>
    </row>
    <row r="32" spans="1:9" ht="15.75" customHeight="1">
      <c r="A32" s="23" t="s">
        <v>126</v>
      </c>
      <c r="B32" s="29">
        <v>62</v>
      </c>
      <c r="C32" s="35">
        <v>1</v>
      </c>
      <c r="D32" s="173" t="s">
        <v>100</v>
      </c>
      <c r="E32" s="172">
        <f t="shared" ref="E32" si="3">IF(D32="F",0.6,IF(D32="C",0.3,IF(D32="D",0.4,IF(D32="E",0.5,IF(D32="A",0.1,IF(D32="G",0.7,IF(D32="H",0.8,IF(D32="B",0.2,""))))))))</f>
        <v>0.3</v>
      </c>
      <c r="F32" s="61" t="s">
        <v>115</v>
      </c>
      <c r="G32" s="31"/>
      <c r="H32" s="22">
        <v>0.65</v>
      </c>
      <c r="I32" s="13"/>
    </row>
    <row r="33" spans="1:15" ht="15.75" customHeight="1">
      <c r="A33" s="23" t="s">
        <v>74</v>
      </c>
      <c r="B33" s="29">
        <v>32</v>
      </c>
      <c r="C33" s="35">
        <v>4</v>
      </c>
      <c r="D33" s="140" t="s">
        <v>51</v>
      </c>
      <c r="E33" s="172">
        <f t="shared" ref="E33" si="4">IF(D33="F",0.6,IF(D33="C",0.3,IF(D33="D",0.4,IF(D33="E",0.5,IF(D33="A",0.1,IF(D33="G",0.7,IF(D33="H",0.8,IF(D33="B",0.2,""))))))))</f>
        <v>0.2</v>
      </c>
      <c r="F33" s="62"/>
      <c r="G33" s="31"/>
      <c r="H33" s="22">
        <v>0.6</v>
      </c>
      <c r="I33" s="13"/>
    </row>
    <row r="34" spans="1:15" ht="15.75" customHeight="1">
      <c r="B34" s="37"/>
      <c r="G34" s="31"/>
      <c r="H34" s="41"/>
      <c r="I34" s="13"/>
    </row>
    <row r="35" spans="1:15" ht="15.75" customHeight="1">
      <c r="A35" s="271" t="s">
        <v>75</v>
      </c>
      <c r="B35" s="272"/>
      <c r="C35" s="273" t="str">
        <f>A1</f>
        <v>MIKEL</v>
      </c>
      <c r="D35" s="270"/>
      <c r="E35" s="31"/>
      <c r="G35" s="90"/>
      <c r="H35" s="276" t="s">
        <v>39</v>
      </c>
      <c r="I35" s="13"/>
    </row>
    <row r="36" spans="1:15" ht="33" customHeight="1">
      <c r="A36" s="114" t="s">
        <v>0</v>
      </c>
      <c r="B36" s="115" t="s">
        <v>40</v>
      </c>
      <c r="C36" s="116" t="s">
        <v>41</v>
      </c>
      <c r="D36" s="117" t="s">
        <v>42</v>
      </c>
      <c r="E36" s="14" t="s">
        <v>37</v>
      </c>
      <c r="F36" s="130" t="s">
        <v>76</v>
      </c>
      <c r="G36" s="21" t="s">
        <v>49</v>
      </c>
      <c r="H36" s="283"/>
      <c r="I36" s="13"/>
    </row>
    <row r="37" spans="1:15" ht="15.75" customHeight="1">
      <c r="A37" s="43" t="s">
        <v>165</v>
      </c>
      <c r="B37" s="121">
        <v>313</v>
      </c>
      <c r="C37" s="30">
        <v>3</v>
      </c>
      <c r="D37" s="65">
        <v>2.8</v>
      </c>
      <c r="E37" s="17"/>
      <c r="F37" s="70">
        <f>10+D37</f>
        <v>12.8</v>
      </c>
      <c r="G37" s="27">
        <f>F37-1.3</f>
        <v>11.5</v>
      </c>
      <c r="H37" s="141">
        <v>0.8</v>
      </c>
      <c r="I37" s="13"/>
    </row>
    <row r="38" spans="1:15" ht="15.75" customHeight="1">
      <c r="B38" s="37"/>
      <c r="G38" s="90"/>
      <c r="H38" s="41"/>
      <c r="I38" s="13"/>
    </row>
    <row r="39" spans="1:15" ht="15.75" customHeight="1">
      <c r="A39" s="271" t="s">
        <v>78</v>
      </c>
      <c r="B39" s="272"/>
      <c r="C39" s="273" t="str">
        <f>A1</f>
        <v>MIKEL</v>
      </c>
      <c r="D39" s="272"/>
      <c r="E39" s="270"/>
      <c r="F39" s="14" t="s">
        <v>37</v>
      </c>
      <c r="G39" s="15" t="s">
        <v>38</v>
      </c>
      <c r="H39" s="274" t="s">
        <v>39</v>
      </c>
      <c r="I39" s="13"/>
    </row>
    <row r="40" spans="1:15" ht="31.5" customHeight="1">
      <c r="A40" s="103" t="s">
        <v>0</v>
      </c>
      <c r="B40" s="127" t="s">
        <v>40</v>
      </c>
      <c r="C40" s="128" t="s">
        <v>41</v>
      </c>
      <c r="D40" s="154" t="s">
        <v>42</v>
      </c>
      <c r="E40" s="129" t="s">
        <v>43</v>
      </c>
      <c r="F40" s="149">
        <f>SUM(E41:E47)</f>
        <v>1.0999999999999999</v>
      </c>
      <c r="G40" s="18">
        <f>10+F40+F42+F48</f>
        <v>12.299999999999999</v>
      </c>
      <c r="H40" s="275"/>
      <c r="I40" s="13"/>
    </row>
    <row r="41" spans="1:15" ht="15.75" customHeight="1">
      <c r="A41" s="23" t="s">
        <v>79</v>
      </c>
      <c r="B41" s="24">
        <v>73</v>
      </c>
      <c r="C41" s="35">
        <v>3</v>
      </c>
      <c r="D41" s="171" t="s">
        <v>47</v>
      </c>
      <c r="E41" s="172">
        <f>IF(D41="F",0.6,IF(D41="C",0.3,IF(D41="D",0.4,IF(D41="E",0.5,IF(D41="A",0.1,IF(D41="G",0.7,IF(D41="H",0.8,IF(D41="B",0.2,""))))))))</f>
        <v>0.1</v>
      </c>
      <c r="F41" s="20" t="s">
        <v>48</v>
      </c>
      <c r="G41" s="156" t="s">
        <v>49</v>
      </c>
      <c r="H41" s="22">
        <v>0.85</v>
      </c>
      <c r="I41" s="13"/>
    </row>
    <row r="42" spans="1:15" ht="15.75" customHeight="1">
      <c r="A42" s="45" t="s">
        <v>82</v>
      </c>
      <c r="B42" s="46">
        <v>7</v>
      </c>
      <c r="C42" s="34">
        <v>2</v>
      </c>
      <c r="D42" s="107" t="s">
        <v>47</v>
      </c>
      <c r="E42" s="172">
        <f>IF(D42="F",0.6,IF(D42="C",0.3,IF(D42="D",0.4,IF(D42="E",0.5,IF(D42="A",0.1,IF(D42="G",0.7,IF(D42="H",0.8,IF(D42="B",0.2,""))))))))</f>
        <v>0.1</v>
      </c>
      <c r="F42" s="26">
        <v>1.2</v>
      </c>
      <c r="G42" s="157">
        <f>G40-1.5</f>
        <v>10.799999999999999</v>
      </c>
      <c r="H42" s="22">
        <v>0.5</v>
      </c>
      <c r="I42" s="13"/>
    </row>
    <row r="43" spans="1:15" ht="15.75" customHeight="1">
      <c r="A43" s="45" t="s">
        <v>83</v>
      </c>
      <c r="B43" s="46">
        <v>8</v>
      </c>
      <c r="C43" s="35">
        <v>2</v>
      </c>
      <c r="D43" s="173" t="s">
        <v>51</v>
      </c>
      <c r="E43" s="172">
        <f>IF(D43="F",0.6,IF(D43="C",0.3,IF(D43="D",0.4,IF(D43="E",0.5,IF(D43="A",0.1,IF(D43="G",0.7,IF(D43="H",0.8,IF(D43="B",0.2,""))))))))</f>
        <v>0.2</v>
      </c>
      <c r="F43" s="90"/>
      <c r="G43" s="31"/>
      <c r="H43" s="22">
        <v>0.5</v>
      </c>
      <c r="I43" s="153"/>
      <c r="O43" s="108"/>
    </row>
    <row r="44" spans="1:15" ht="15.75" customHeight="1">
      <c r="A44" s="23" t="s">
        <v>99</v>
      </c>
      <c r="B44" s="24">
        <v>15</v>
      </c>
      <c r="C44" s="30">
        <v>3</v>
      </c>
      <c r="D44" s="140" t="s">
        <v>100</v>
      </c>
      <c r="E44" s="172">
        <f t="shared" ref="E44" si="5">IF(D44="F",0.6,IF(D44="C",0.3,IF(D44="D",0.4,IF(D44="E",0.5,IF(D44="A",0.1,IF(D44="G",0.7,IF(D44="H",0.8,IF(D44="B",0.2,""))))))))</f>
        <v>0.3</v>
      </c>
      <c r="F44" s="90"/>
      <c r="G44" s="31"/>
      <c r="H44" s="22">
        <v>0.75</v>
      </c>
      <c r="I44" s="153"/>
      <c r="O44" s="108"/>
    </row>
    <row r="45" spans="1:15" ht="15.75" customHeight="1">
      <c r="A45" s="23" t="s">
        <v>128</v>
      </c>
      <c r="B45" s="29">
        <v>116</v>
      </c>
      <c r="C45" s="25">
        <v>3</v>
      </c>
      <c r="D45" s="140" t="s">
        <v>51</v>
      </c>
      <c r="E45" s="195">
        <f>IF(D45="F",0.6,IF(D45="C",0.3,IF(D45="D",0.4,IF(D45="E",0.5,IF(D45="A",0.1,IF(D45="G",0.7,IF(D45="H",0.8,IF(D45="B",0.2,""))))))))</f>
        <v>0.2</v>
      </c>
      <c r="F45" s="90"/>
      <c r="G45" s="31"/>
      <c r="H45" s="22">
        <v>0.85</v>
      </c>
      <c r="I45" s="153"/>
      <c r="O45" s="108"/>
    </row>
    <row r="46" spans="1:15" ht="15.75" customHeight="1">
      <c r="A46" s="23" t="s">
        <v>81</v>
      </c>
      <c r="B46" s="46">
        <v>1</v>
      </c>
      <c r="C46" s="35">
        <v>1</v>
      </c>
      <c r="D46" s="173" t="s">
        <v>47</v>
      </c>
      <c r="E46" s="172">
        <f>IF(D46="F",0.6,IF(D46="C",0.3,IF(D46="D",0.4,IF(D46="E",0.5,IF(D46="A",0.1,IF(D46="G",0.7,IF(D46="H",0.8,IF(D46="B",0.2,""))))))))</f>
        <v>0.1</v>
      </c>
      <c r="F46" s="90"/>
      <c r="G46" s="31"/>
      <c r="H46" s="22">
        <v>0.95</v>
      </c>
      <c r="I46" s="153"/>
      <c r="O46" s="108"/>
    </row>
    <row r="47" spans="1:15" ht="15.75" customHeight="1">
      <c r="A47" s="155" t="s">
        <v>166</v>
      </c>
      <c r="B47" s="92">
        <v>1</v>
      </c>
      <c r="C47" s="35">
        <v>4</v>
      </c>
      <c r="D47" s="140" t="s">
        <v>47</v>
      </c>
      <c r="E47" s="250">
        <f>IF(D47="F",0.6,IF(D47="C",0.3,IF(D47="D",0.4,IF(D47="E",0.5,IF(D47="A",0.1,IF(D47="G",0.7,IF(D47="H",0.8,IF(D47="B",0.2,""))))))))</f>
        <v>0.1</v>
      </c>
      <c r="F47" s="61" t="s">
        <v>115</v>
      </c>
      <c r="G47" s="90"/>
      <c r="H47" s="22">
        <v>0.9</v>
      </c>
      <c r="I47" s="153"/>
      <c r="O47" s="108"/>
    </row>
    <row r="48" spans="1:15" ht="15.75" customHeight="1">
      <c r="F48" s="62"/>
      <c r="G48" s="90"/>
      <c r="H48" s="22">
        <v>0.5</v>
      </c>
      <c r="I48" s="153"/>
      <c r="O48" s="108"/>
    </row>
    <row r="49" spans="1:9" ht="15.75" customHeight="1">
      <c r="B49" s="37"/>
      <c r="F49" s="108"/>
      <c r="G49" s="31"/>
      <c r="H49" s="41"/>
      <c r="I49" s="13"/>
    </row>
    <row r="50" spans="1:9" ht="15.75" customHeight="1">
      <c r="A50" s="271" t="s">
        <v>7</v>
      </c>
      <c r="B50" s="272"/>
      <c r="C50" s="273" t="str">
        <f>A1</f>
        <v>MIKEL</v>
      </c>
      <c r="D50" s="272"/>
      <c r="E50" s="270"/>
      <c r="F50" s="14" t="s">
        <v>37</v>
      </c>
      <c r="G50" s="15" t="s">
        <v>38</v>
      </c>
      <c r="H50" s="274" t="s">
        <v>39</v>
      </c>
      <c r="I50" s="13"/>
    </row>
    <row r="51" spans="1:9" ht="30.75" customHeight="1">
      <c r="A51" s="103" t="s">
        <v>0</v>
      </c>
      <c r="B51" s="127" t="s">
        <v>40</v>
      </c>
      <c r="C51" s="128" t="s">
        <v>41</v>
      </c>
      <c r="D51" s="51" t="s">
        <v>42</v>
      </c>
      <c r="E51" s="129" t="s">
        <v>43</v>
      </c>
      <c r="F51" s="149">
        <f>SUM(E52:E59)</f>
        <v>1.0999999999999999</v>
      </c>
      <c r="G51" s="18">
        <f>10+F51+F53+F59</f>
        <v>12.5</v>
      </c>
      <c r="H51" s="275"/>
      <c r="I51" s="13"/>
    </row>
    <row r="52" spans="1:9" ht="15.75" customHeight="1">
      <c r="A52" s="23" t="s">
        <v>129</v>
      </c>
      <c r="B52" s="24">
        <v>26</v>
      </c>
      <c r="C52" s="35">
        <v>2</v>
      </c>
      <c r="D52" s="171" t="s">
        <v>51</v>
      </c>
      <c r="E52" s="172">
        <f>IF(D52="F",0.6,IF(D52="C",0.3,IF(D52="D",0.4,IF(D52="E",0.5,IF(D52="A",0.1,IF(D52="G",0.7,IF(D52="H",0.8,IF(D52="B",0.2,""))))))))</f>
        <v>0.2</v>
      </c>
      <c r="F52" s="20" t="s">
        <v>48</v>
      </c>
      <c r="G52" s="156" t="s">
        <v>49</v>
      </c>
      <c r="H52" s="22">
        <v>0.75</v>
      </c>
      <c r="I52" s="13"/>
    </row>
    <row r="53" spans="1:9" ht="15.75" customHeight="1">
      <c r="A53" s="23" t="s">
        <v>143</v>
      </c>
      <c r="B53" s="24">
        <v>1</v>
      </c>
      <c r="C53" s="35">
        <v>3</v>
      </c>
      <c r="D53" s="171" t="s">
        <v>47</v>
      </c>
      <c r="E53" s="172">
        <f>IF(D53="F",0.6,IF(D53="C",0.3,IF(D53="D",0.4,IF(D53="E",0.5,IF(D53="A",0.1,IF(D53="G",0.7,IF(D53="H",0.8,IF(D53="B",0.2,""))))))))</f>
        <v>0.1</v>
      </c>
      <c r="F53" s="26">
        <v>1.4</v>
      </c>
      <c r="G53" s="157">
        <f>G51-1.5</f>
        <v>11</v>
      </c>
      <c r="H53" s="22">
        <v>0.75</v>
      </c>
      <c r="I53" s="13"/>
    </row>
    <row r="54" spans="1:9" ht="15.75" customHeight="1">
      <c r="A54" s="23" t="s">
        <v>86</v>
      </c>
      <c r="B54" s="24"/>
      <c r="C54" s="25">
        <v>1</v>
      </c>
      <c r="D54" s="107" t="s">
        <v>47</v>
      </c>
      <c r="E54" s="172">
        <f>IF(D54="F",0.6,IF(D54="C",0.3,IF(D54="D",0.4,IF(D54="E",0.5,IF(D54="A",0.1,IF(D54="G",0.7,IF(D54="H",0.8,IF(D54="B",0.2,""))))))))</f>
        <v>0.1</v>
      </c>
      <c r="F54" s="158"/>
      <c r="G54" s="31"/>
      <c r="H54" s="22">
        <v>0.85</v>
      </c>
      <c r="I54" s="13"/>
    </row>
    <row r="55" spans="1:9" ht="17.25" customHeight="1">
      <c r="A55" s="23" t="s">
        <v>144</v>
      </c>
      <c r="B55" s="29">
        <v>13</v>
      </c>
      <c r="C55" s="30">
        <v>1</v>
      </c>
      <c r="D55" s="140" t="s">
        <v>47</v>
      </c>
      <c r="E55" s="172">
        <f>IF(D55="F",0.6,IF(D55="C",0.3,IF(D55="D",0.4,IF(D55="E",0.5,IF(D55="A",0.1,IF(D55="G",0.7,IF(D55="H",0.8,IF(D55="B",0.2,""))))))))</f>
        <v>0.1</v>
      </c>
      <c r="F55" s="31"/>
      <c r="G55" s="31"/>
      <c r="H55" s="22">
        <v>0.6</v>
      </c>
      <c r="I55" s="13"/>
    </row>
    <row r="56" spans="1:9" ht="17.25" customHeight="1">
      <c r="A56" s="23" t="s">
        <v>86</v>
      </c>
      <c r="B56" s="24"/>
      <c r="C56" s="25">
        <v>1</v>
      </c>
      <c r="D56" s="107" t="s">
        <v>47</v>
      </c>
      <c r="E56" s="172">
        <f t="shared" ref="E56" si="6">IF(D56="F",0.6,IF(D56="C",0.3,IF(D56="D",0.4,IF(D56="E",0.5,IF(D56="A",0.1,IF(D56="G",0.7,IF(D56="H",0.8,IF(D56="B",0.2,""))))))))</f>
        <v>0.1</v>
      </c>
      <c r="F56" s="90"/>
      <c r="G56" s="31"/>
      <c r="H56" s="22">
        <v>0.65</v>
      </c>
      <c r="I56" s="13"/>
    </row>
    <row r="57" spans="1:9" ht="16.5" customHeight="1">
      <c r="A57" s="124" t="s">
        <v>159</v>
      </c>
      <c r="B57" s="24">
        <v>13</v>
      </c>
      <c r="C57" s="198">
        <v>1</v>
      </c>
      <c r="D57" s="173" t="s">
        <v>47</v>
      </c>
      <c r="E57" s="172">
        <f>IF(D57="F",0.6,IF(D57="C",0.3,IF(D57="D",0.4,IF(D57="E",0.5,IF(D57="A",0.1,IF(D57="G",0.7,IF(D57="H",0.8,IF(D57="B",0.2,""))))))))</f>
        <v>0.1</v>
      </c>
      <c r="F57" s="158"/>
      <c r="G57" s="31"/>
      <c r="H57" s="22">
        <v>0.85</v>
      </c>
      <c r="I57" s="13"/>
    </row>
    <row r="58" spans="1:9" ht="15.75" customHeight="1">
      <c r="A58" s="197" t="s">
        <v>101</v>
      </c>
      <c r="B58" s="46">
        <v>25</v>
      </c>
      <c r="C58" s="198">
        <v>3</v>
      </c>
      <c r="D58" s="173" t="s">
        <v>47</v>
      </c>
      <c r="E58" s="172">
        <f>IF(D58="F",0.6,IF(D58="C",0.3,IF(D58="D",0.4,IF(D58="E",0.5,IF(D58="A",0.1,IF(D58="G",0.7,IF(D58="H",0.8,IF(D58="B",0.2,""))))))))</f>
        <v>0.1</v>
      </c>
      <c r="F58" s="33" t="s">
        <v>56</v>
      </c>
      <c r="G58" s="90"/>
      <c r="H58" s="119">
        <v>0.8</v>
      </c>
      <c r="I58" s="13"/>
    </row>
    <row r="59" spans="1:9" ht="15.75" customHeight="1">
      <c r="A59" s="124" t="s">
        <v>130</v>
      </c>
      <c r="B59" s="24">
        <v>39</v>
      </c>
      <c r="C59" s="198">
        <v>4</v>
      </c>
      <c r="D59" s="140" t="s">
        <v>100</v>
      </c>
      <c r="E59" s="172">
        <f t="shared" ref="E59" si="7">IF(D59="F",0.6,IF(D59="C",0.3,IF(D59="D",0.4,IF(D59="E",0.5,IF(D59="A",0.1,IF(D59="G",0.7,IF(D59="H",0.8,IF(D59="B",0.2,""))))))))</f>
        <v>0.3</v>
      </c>
      <c r="F59" s="36"/>
      <c r="G59" s="90"/>
      <c r="H59" s="22">
        <v>0.8</v>
      </c>
      <c r="I59" s="13"/>
    </row>
    <row r="60" spans="1:9" ht="15.75" customHeight="1">
      <c r="B60" s="108"/>
      <c r="F60" s="108"/>
    </row>
    <row r="61" spans="1:9" ht="15.75" customHeight="1"/>
    <row r="62" spans="1:9" ht="15.75" customHeight="1"/>
    <row r="63" spans="1:9" ht="16.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C35:D35"/>
    <mergeCell ref="H35:H36"/>
    <mergeCell ref="A50:B50"/>
    <mergeCell ref="C50:E50"/>
    <mergeCell ref="H50:H51"/>
    <mergeCell ref="A39:B39"/>
    <mergeCell ref="C39:E39"/>
    <mergeCell ref="A35:B35"/>
    <mergeCell ref="H39:H40"/>
    <mergeCell ref="H24:H25"/>
    <mergeCell ref="A24:B24"/>
    <mergeCell ref="C24:E24"/>
    <mergeCell ref="C2:E2"/>
    <mergeCell ref="A1:B1"/>
    <mergeCell ref="A2:B2"/>
    <mergeCell ref="H2:H3"/>
    <mergeCell ref="H13:H14"/>
    <mergeCell ref="A13:B13"/>
    <mergeCell ref="C13:E13"/>
  </mergeCells>
  <conditionalFormatting sqref="A2 A13 A24 A35 A39 A50">
    <cfRule type="expression" dxfId="681" priority="254">
      <formula>CV:CV&gt;=80</formula>
    </cfRule>
  </conditionalFormatting>
  <conditionalFormatting sqref="A4">
    <cfRule type="expression" dxfId="680" priority="252">
      <formula>R:R&gt;=80</formula>
    </cfRule>
  </conditionalFormatting>
  <conditionalFormatting sqref="A45 A15 A17:A21">
    <cfRule type="expression" dxfId="679" priority="290">
      <formula>G:G&gt;=80</formula>
    </cfRule>
  </conditionalFormatting>
  <conditionalFormatting sqref="A22 A26 A28:A31">
    <cfRule type="expression" dxfId="678" priority="250">
      <formula>H:H&gt;=80</formula>
    </cfRule>
  </conditionalFormatting>
  <conditionalFormatting sqref="C4:C5 C41:C47 C57:C59 C9:C10 C26 C28:C32">
    <cfRule type="cellIs" dxfId="677" priority="237" operator="equal">
      <formula>4</formula>
    </cfRule>
    <cfRule type="cellIs" dxfId="676" priority="238" operator="equal">
      <formula>3</formula>
    </cfRule>
    <cfRule type="cellIs" dxfId="675" priority="239" operator="equal">
      <formula>2</formula>
    </cfRule>
    <cfRule type="cellIs" dxfId="674" priority="240" operator="equal">
      <formula>1</formula>
    </cfRule>
  </conditionalFormatting>
  <conditionalFormatting sqref="C15:C18">
    <cfRule type="cellIs" dxfId="673" priority="168" operator="equal">
      <formula>4</formula>
    </cfRule>
    <cfRule type="cellIs" dxfId="672" priority="169" operator="equal">
      <formula>3</formula>
    </cfRule>
    <cfRule type="cellIs" dxfId="671" priority="170" operator="equal">
      <formula>2</formula>
    </cfRule>
    <cfRule type="cellIs" dxfId="670" priority="171" operator="equal">
      <formula>1</formula>
    </cfRule>
  </conditionalFormatting>
  <conditionalFormatting sqref="C19 C21:C22">
    <cfRule type="cellIs" dxfId="669" priority="156" operator="equal">
      <formula>4</formula>
    </cfRule>
    <cfRule type="cellIs" dxfId="668" priority="157" operator="equal">
      <formula>3</formula>
    </cfRule>
    <cfRule type="cellIs" dxfId="667" priority="158" operator="equal">
      <formula>2</formula>
    </cfRule>
    <cfRule type="cellIs" dxfId="666" priority="159" operator="equal">
      <formula>1</formula>
    </cfRule>
  </conditionalFormatting>
  <conditionalFormatting sqref="C37">
    <cfRule type="cellIs" dxfId="665" priority="133" operator="equal">
      <formula>4</formula>
    </cfRule>
    <cfRule type="cellIs" dxfId="664" priority="134" operator="equal">
      <formula>3</formula>
    </cfRule>
    <cfRule type="cellIs" dxfId="663" priority="135" operator="equal">
      <formula>2</formula>
    </cfRule>
    <cfRule type="cellIs" dxfId="662" priority="136" operator="equal">
      <formula>1</formula>
    </cfRule>
  </conditionalFormatting>
  <conditionalFormatting sqref="C53:C56">
    <cfRule type="cellIs" dxfId="661" priority="193" operator="equal">
      <formula>4</formula>
    </cfRule>
    <cfRule type="cellIs" dxfId="660" priority="194" operator="equal">
      <formula>3</formula>
    </cfRule>
    <cfRule type="cellIs" dxfId="659" priority="195" operator="equal">
      <formula>2</formula>
    </cfRule>
    <cfRule type="cellIs" dxfId="658" priority="196" operator="equal">
      <formula>1</formula>
    </cfRule>
  </conditionalFormatting>
  <conditionalFormatting sqref="D4:D5 D41:D47 D57:D59 D9:D10 D26 D28:D32">
    <cfRule type="containsText" dxfId="657" priority="230" operator="containsText" text="G">
      <formula>NOT(ISERROR(SEARCH("G",D4)))</formula>
    </cfRule>
    <cfRule type="containsText" dxfId="656" priority="231" operator="containsText" text="F">
      <formula>NOT(ISERROR(SEARCH("F",D4)))</formula>
    </cfRule>
    <cfRule type="containsText" dxfId="655" priority="232" operator="containsText" text="E">
      <formula>NOT(ISERROR(SEARCH("E",D4)))</formula>
    </cfRule>
    <cfRule type="containsText" dxfId="654" priority="233" operator="containsText" text="D">
      <formula>NOT(ISERROR(SEARCH("D",D4)))</formula>
    </cfRule>
    <cfRule type="containsText" dxfId="653" priority="234" operator="containsText" text="C">
      <formula>NOT(ISERROR(SEARCH("C",D4)))</formula>
    </cfRule>
    <cfRule type="containsText" dxfId="652" priority="235" operator="containsText" text="B">
      <formula>NOT(ISERROR(SEARCH("B",D4)))</formula>
    </cfRule>
    <cfRule type="containsText" dxfId="651" priority="236" operator="containsText" text="A">
      <formula>NOT(ISERROR(SEARCH("A",D4)))</formula>
    </cfRule>
  </conditionalFormatting>
  <conditionalFormatting sqref="D15:D18">
    <cfRule type="containsText" dxfId="650" priority="161" operator="containsText" text="G">
      <formula>NOT(ISERROR(SEARCH("G",D15)))</formula>
    </cfRule>
    <cfRule type="containsText" dxfId="649" priority="162" operator="containsText" text="F">
      <formula>NOT(ISERROR(SEARCH("F",D15)))</formula>
    </cfRule>
    <cfRule type="containsText" dxfId="648" priority="163" operator="containsText" text="E">
      <formula>NOT(ISERROR(SEARCH("E",D15)))</formula>
    </cfRule>
    <cfRule type="containsText" dxfId="647" priority="164" operator="containsText" text="D">
      <formula>NOT(ISERROR(SEARCH("D",D15)))</formula>
    </cfRule>
    <cfRule type="containsText" dxfId="646" priority="165" operator="containsText" text="C">
      <formula>NOT(ISERROR(SEARCH("C",D15)))</formula>
    </cfRule>
    <cfRule type="containsText" dxfId="645" priority="166" operator="containsText" text="B">
      <formula>NOT(ISERROR(SEARCH("B",D15)))</formula>
    </cfRule>
    <cfRule type="containsText" dxfId="644" priority="167" operator="containsText" text="A">
      <formula>NOT(ISERROR(SEARCH("A",D15)))</formula>
    </cfRule>
  </conditionalFormatting>
  <conditionalFormatting sqref="D19 D21:D22">
    <cfRule type="containsText" dxfId="643" priority="149" operator="containsText" text="G">
      <formula>NOT(ISERROR(SEARCH("G",D19)))</formula>
    </cfRule>
    <cfRule type="containsText" dxfId="642" priority="150" operator="containsText" text="F">
      <formula>NOT(ISERROR(SEARCH("F",D19)))</formula>
    </cfRule>
    <cfRule type="containsText" dxfId="641" priority="151" operator="containsText" text="E">
      <formula>NOT(ISERROR(SEARCH("E",D19)))</formula>
    </cfRule>
    <cfRule type="containsText" dxfId="640" priority="152" operator="containsText" text="D">
      <formula>NOT(ISERROR(SEARCH("D",D19)))</formula>
    </cfRule>
    <cfRule type="containsText" dxfId="639" priority="153" operator="containsText" text="C">
      <formula>NOT(ISERROR(SEARCH("C",D19)))</formula>
    </cfRule>
    <cfRule type="containsText" dxfId="638" priority="154" operator="containsText" text="B">
      <formula>NOT(ISERROR(SEARCH("B",D19)))</formula>
    </cfRule>
    <cfRule type="containsText" dxfId="637" priority="155" operator="containsText" text="A">
      <formula>NOT(ISERROR(SEARCH("A",D19)))</formula>
    </cfRule>
  </conditionalFormatting>
  <conditionalFormatting sqref="D53:D56">
    <cfRule type="containsText" dxfId="636" priority="186" operator="containsText" text="G">
      <formula>NOT(ISERROR(SEARCH("G",D53)))</formula>
    </cfRule>
    <cfRule type="containsText" dxfId="635" priority="187" operator="containsText" text="F">
      <formula>NOT(ISERROR(SEARCH("F",D53)))</formula>
    </cfRule>
    <cfRule type="containsText" dxfId="634" priority="188" operator="containsText" text="E">
      <formula>NOT(ISERROR(SEARCH("E",D53)))</formula>
    </cfRule>
    <cfRule type="containsText" dxfId="633" priority="189" operator="containsText" text="D">
      <formula>NOT(ISERROR(SEARCH("D",D53)))</formula>
    </cfRule>
    <cfRule type="containsText" dxfId="632" priority="190" operator="containsText" text="C">
      <formula>NOT(ISERROR(SEARCH("C",D53)))</formula>
    </cfRule>
    <cfRule type="containsText" dxfId="631" priority="191" operator="containsText" text="B">
      <formula>NOT(ISERROR(SEARCH("B",D53)))</formula>
    </cfRule>
    <cfRule type="containsText" dxfId="630" priority="192" operator="containsText" text="A">
      <formula>NOT(ISERROR(SEARCH("A",D53)))</formula>
    </cfRule>
  </conditionalFormatting>
  <conditionalFormatting sqref="G13:G22">
    <cfRule type="cellIs" dxfId="629" priority="172" operator="between">
      <formula>0.7</formula>
      <formula>0.8</formula>
    </cfRule>
    <cfRule type="cellIs" dxfId="628" priority="173" operator="between">
      <formula>0.8</formula>
      <formula>1</formula>
    </cfRule>
    <cfRule type="cellIs" dxfId="627" priority="174" operator="between">
      <formula>69%</formula>
      <formula>0.01</formula>
    </cfRule>
  </conditionalFormatting>
  <conditionalFormatting sqref="H1">
    <cfRule type="cellIs" dxfId="626" priority="179" stopIfTrue="1" operator="between">
      <formula>0.81</formula>
      <formula>1</formula>
    </cfRule>
    <cfRule type="cellIs" dxfId="625" priority="180" stopIfTrue="1" operator="between">
      <formula>0.7</formula>
      <formula>0.8</formula>
    </cfRule>
    <cfRule type="cellIs" dxfId="624" priority="181" stopIfTrue="1" operator="between">
      <formula>0.01</formula>
      <formula>0.69</formula>
    </cfRule>
  </conditionalFormatting>
  <conditionalFormatting sqref="H1:H59">
    <cfRule type="cellIs" dxfId="623" priority="176" operator="between">
      <formula>0.7</formula>
      <formula>0.8</formula>
    </cfRule>
    <cfRule type="cellIs" dxfId="622" priority="177" operator="between">
      <formula>0.8</formula>
      <formula>1</formula>
    </cfRule>
    <cfRule type="cellIs" dxfId="621" priority="178" operator="between">
      <formula>69%</formula>
      <formula>0.01</formula>
    </cfRule>
  </conditionalFormatting>
  <conditionalFormatting sqref="I1:I59">
    <cfRule type="cellIs" dxfId="620" priority="258" stopIfTrue="1" operator="between">
      <formula>0.81</formula>
      <formula>1</formula>
    </cfRule>
    <cfRule type="cellIs" dxfId="619" priority="259" stopIfTrue="1" operator="between">
      <formula>0.7</formula>
      <formula>0.8</formula>
    </cfRule>
    <cfRule type="cellIs" dxfId="618" priority="260" stopIfTrue="1" operator="between">
      <formula>0.01</formula>
      <formula>0.69</formula>
    </cfRule>
  </conditionalFormatting>
  <conditionalFormatting sqref="C8">
    <cfRule type="cellIs" dxfId="617" priority="96" operator="equal">
      <formula>4</formula>
    </cfRule>
    <cfRule type="cellIs" dxfId="616" priority="97" operator="equal">
      <formula>3</formula>
    </cfRule>
    <cfRule type="cellIs" dxfId="615" priority="98" operator="equal">
      <formula>2</formula>
    </cfRule>
    <cfRule type="cellIs" dxfId="614" priority="99" operator="equal">
      <formula>1</formula>
    </cfRule>
  </conditionalFormatting>
  <conditionalFormatting sqref="D8">
    <cfRule type="containsText" dxfId="613" priority="89" operator="containsText" text="G">
      <formula>NOT(ISERROR(SEARCH("G",D8)))</formula>
    </cfRule>
    <cfRule type="containsText" dxfId="612" priority="90" operator="containsText" text="F">
      <formula>NOT(ISERROR(SEARCH("F",D8)))</formula>
    </cfRule>
    <cfRule type="containsText" dxfId="611" priority="91" operator="containsText" text="E">
      <formula>NOT(ISERROR(SEARCH("E",D8)))</formula>
    </cfRule>
    <cfRule type="containsText" dxfId="610" priority="92" operator="containsText" text="D">
      <formula>NOT(ISERROR(SEARCH("D",D8)))</formula>
    </cfRule>
    <cfRule type="containsText" dxfId="609" priority="93" operator="containsText" text="C">
      <formula>NOT(ISERROR(SEARCH("C",D8)))</formula>
    </cfRule>
    <cfRule type="containsText" dxfId="608" priority="94" operator="containsText" text="B">
      <formula>NOT(ISERROR(SEARCH("B",D8)))</formula>
    </cfRule>
    <cfRule type="containsText" dxfId="607" priority="95" operator="containsText" text="A">
      <formula>NOT(ISERROR(SEARCH("A",D8)))</formula>
    </cfRule>
  </conditionalFormatting>
  <conditionalFormatting sqref="C11">
    <cfRule type="cellIs" dxfId="606" priority="85" operator="equal">
      <formula>4</formula>
    </cfRule>
    <cfRule type="cellIs" dxfId="605" priority="86" operator="equal">
      <formula>3</formula>
    </cfRule>
    <cfRule type="cellIs" dxfId="604" priority="87" operator="equal">
      <formula>2</formula>
    </cfRule>
    <cfRule type="cellIs" dxfId="603" priority="88" operator="equal">
      <formula>1</formula>
    </cfRule>
  </conditionalFormatting>
  <conditionalFormatting sqref="D11">
    <cfRule type="containsText" dxfId="602" priority="78" operator="containsText" text="G">
      <formula>NOT(ISERROR(SEARCH("G",D11)))</formula>
    </cfRule>
    <cfRule type="containsText" dxfId="601" priority="79" operator="containsText" text="F">
      <formula>NOT(ISERROR(SEARCH("F",D11)))</formula>
    </cfRule>
    <cfRule type="containsText" dxfId="600" priority="80" operator="containsText" text="E">
      <formula>NOT(ISERROR(SEARCH("E",D11)))</formula>
    </cfRule>
    <cfRule type="containsText" dxfId="599" priority="81" operator="containsText" text="D">
      <formula>NOT(ISERROR(SEARCH("D",D11)))</formula>
    </cfRule>
    <cfRule type="containsText" dxfId="598" priority="82" operator="containsText" text="C">
      <formula>NOT(ISERROR(SEARCH("C",D11)))</formula>
    </cfRule>
    <cfRule type="containsText" dxfId="597" priority="83" operator="containsText" text="B">
      <formula>NOT(ISERROR(SEARCH("B",D11)))</formula>
    </cfRule>
    <cfRule type="containsText" dxfId="596" priority="84" operator="containsText" text="A">
      <formula>NOT(ISERROR(SEARCH("A",D11)))</formula>
    </cfRule>
  </conditionalFormatting>
  <conditionalFormatting sqref="C20">
    <cfRule type="cellIs" dxfId="595" priority="63" operator="equal">
      <formula>4</formula>
    </cfRule>
    <cfRule type="cellIs" dxfId="594" priority="64" operator="equal">
      <formula>3</formula>
    </cfRule>
    <cfRule type="cellIs" dxfId="593" priority="65" operator="equal">
      <formula>2</formula>
    </cfRule>
    <cfRule type="cellIs" dxfId="592" priority="66" operator="equal">
      <formula>1</formula>
    </cfRule>
  </conditionalFormatting>
  <conditionalFormatting sqref="D20">
    <cfRule type="containsText" dxfId="591" priority="56" operator="containsText" text="G">
      <formula>NOT(ISERROR(SEARCH("G",D20)))</formula>
    </cfRule>
    <cfRule type="containsText" dxfId="590" priority="57" operator="containsText" text="F">
      <formula>NOT(ISERROR(SEARCH("F",D20)))</formula>
    </cfRule>
    <cfRule type="containsText" dxfId="589" priority="58" operator="containsText" text="E">
      <formula>NOT(ISERROR(SEARCH("E",D20)))</formula>
    </cfRule>
    <cfRule type="containsText" dxfId="588" priority="59" operator="containsText" text="D">
      <formula>NOT(ISERROR(SEARCH("D",D20)))</formula>
    </cfRule>
    <cfRule type="containsText" dxfId="587" priority="60" operator="containsText" text="C">
      <formula>NOT(ISERROR(SEARCH("C",D20)))</formula>
    </cfRule>
    <cfRule type="containsText" dxfId="586" priority="61" operator="containsText" text="B">
      <formula>NOT(ISERROR(SEARCH("B",D20)))</formula>
    </cfRule>
    <cfRule type="containsText" dxfId="585" priority="62" operator="containsText" text="A">
      <formula>NOT(ISERROR(SEARCH("A",D20)))</formula>
    </cfRule>
  </conditionalFormatting>
  <conditionalFormatting sqref="C6">
    <cfRule type="cellIs" dxfId="584" priority="45" operator="equal">
      <formula>4</formula>
    </cfRule>
    <cfRule type="cellIs" dxfId="583" priority="46" operator="equal">
      <formula>3</formula>
    </cfRule>
    <cfRule type="cellIs" dxfId="582" priority="47" operator="equal">
      <formula>2</formula>
    </cfRule>
    <cfRule type="cellIs" dxfId="581" priority="48" operator="equal">
      <formula>1</formula>
    </cfRule>
  </conditionalFormatting>
  <conditionalFormatting sqref="D6">
    <cfRule type="containsText" dxfId="580" priority="49" operator="containsText" text="G">
      <formula>NOT(ISERROR(SEARCH("G",D6)))</formula>
    </cfRule>
    <cfRule type="containsText" dxfId="579" priority="50" operator="containsText" text="F">
      <formula>NOT(ISERROR(SEARCH("F",D6)))</formula>
    </cfRule>
    <cfRule type="containsText" dxfId="578" priority="51" operator="containsText" text="E">
      <formula>NOT(ISERROR(SEARCH("E",D6)))</formula>
    </cfRule>
    <cfRule type="containsText" dxfId="577" priority="52" operator="containsText" text="D">
      <formula>NOT(ISERROR(SEARCH("D",D6)))</formula>
    </cfRule>
    <cfRule type="containsText" dxfId="576" priority="53" operator="containsText" text="C">
      <formula>NOT(ISERROR(SEARCH("C",D6)))</formula>
    </cfRule>
    <cfRule type="containsText" dxfId="575" priority="54" operator="containsText" text="B">
      <formula>NOT(ISERROR(SEARCH("B",D6)))</formula>
    </cfRule>
    <cfRule type="containsText" dxfId="574" priority="55" operator="containsText" text="A">
      <formula>NOT(ISERROR(SEARCH("A",D6)))</formula>
    </cfRule>
  </conditionalFormatting>
  <conditionalFormatting sqref="C33">
    <cfRule type="cellIs" dxfId="573" priority="41" operator="equal">
      <formula>4</formula>
    </cfRule>
    <cfRule type="cellIs" dxfId="572" priority="42" operator="equal">
      <formula>3</formula>
    </cfRule>
    <cfRule type="cellIs" dxfId="571" priority="43" operator="equal">
      <formula>2</formula>
    </cfRule>
    <cfRule type="cellIs" dxfId="570" priority="44" operator="equal">
      <formula>1</formula>
    </cfRule>
  </conditionalFormatting>
  <conditionalFormatting sqref="D33">
    <cfRule type="containsText" dxfId="569" priority="34" operator="containsText" text="G">
      <formula>NOT(ISERROR(SEARCH("G",D33)))</formula>
    </cfRule>
    <cfRule type="containsText" dxfId="568" priority="35" operator="containsText" text="F">
      <formula>NOT(ISERROR(SEARCH("F",D33)))</formula>
    </cfRule>
    <cfRule type="containsText" dxfId="567" priority="36" operator="containsText" text="E">
      <formula>NOT(ISERROR(SEARCH("E",D33)))</formula>
    </cfRule>
    <cfRule type="containsText" dxfId="566" priority="37" operator="containsText" text="D">
      <formula>NOT(ISERROR(SEARCH("D",D33)))</formula>
    </cfRule>
    <cfRule type="containsText" dxfId="565" priority="38" operator="containsText" text="C">
      <formula>NOT(ISERROR(SEARCH("C",D33)))</formula>
    </cfRule>
    <cfRule type="containsText" dxfId="564" priority="39" operator="containsText" text="B">
      <formula>NOT(ISERROR(SEARCH("B",D33)))</formula>
    </cfRule>
    <cfRule type="containsText" dxfId="563" priority="40" operator="containsText" text="A">
      <formula>NOT(ISERROR(SEARCH("A",D33)))</formula>
    </cfRule>
  </conditionalFormatting>
  <conditionalFormatting sqref="C7">
    <cfRule type="cellIs" dxfId="562" priority="30" operator="equal">
      <formula>4</formula>
    </cfRule>
    <cfRule type="cellIs" dxfId="561" priority="31" operator="equal">
      <formula>3</formula>
    </cfRule>
    <cfRule type="cellIs" dxfId="560" priority="32" operator="equal">
      <formula>2</formula>
    </cfRule>
    <cfRule type="cellIs" dxfId="559" priority="33" operator="equal">
      <formula>1</formula>
    </cfRule>
  </conditionalFormatting>
  <conditionalFormatting sqref="D7">
    <cfRule type="containsText" dxfId="558" priority="23" operator="containsText" text="G">
      <formula>NOT(ISERROR(SEARCH("G",D7)))</formula>
    </cfRule>
    <cfRule type="containsText" dxfId="557" priority="24" operator="containsText" text="F">
      <formula>NOT(ISERROR(SEARCH("F",D7)))</formula>
    </cfRule>
    <cfRule type="containsText" dxfId="556" priority="25" operator="containsText" text="E">
      <formula>NOT(ISERROR(SEARCH("E",D7)))</formula>
    </cfRule>
    <cfRule type="containsText" dxfId="555" priority="26" operator="containsText" text="D">
      <formula>NOT(ISERROR(SEARCH("D",D7)))</formula>
    </cfRule>
    <cfRule type="containsText" dxfId="554" priority="27" operator="containsText" text="C">
      <formula>NOT(ISERROR(SEARCH("C",D7)))</formula>
    </cfRule>
    <cfRule type="containsText" dxfId="553" priority="28" operator="containsText" text="B">
      <formula>NOT(ISERROR(SEARCH("B",D7)))</formula>
    </cfRule>
    <cfRule type="containsText" dxfId="552" priority="29" operator="containsText" text="A">
      <formula>NOT(ISERROR(SEARCH("A",D7)))</formula>
    </cfRule>
  </conditionalFormatting>
  <conditionalFormatting sqref="C27">
    <cfRule type="cellIs" dxfId="551" priority="19" operator="equal">
      <formula>4</formula>
    </cfRule>
    <cfRule type="cellIs" dxfId="550" priority="20" operator="equal">
      <formula>3</formula>
    </cfRule>
    <cfRule type="cellIs" dxfId="549" priority="21" operator="equal">
      <formula>2</formula>
    </cfRule>
    <cfRule type="cellIs" dxfId="548" priority="22" operator="equal">
      <formula>1</formula>
    </cfRule>
  </conditionalFormatting>
  <conditionalFormatting sqref="D27">
    <cfRule type="containsText" dxfId="547" priority="12" operator="containsText" text="G">
      <formula>NOT(ISERROR(SEARCH("G",D27)))</formula>
    </cfRule>
    <cfRule type="containsText" dxfId="546" priority="13" operator="containsText" text="F">
      <formula>NOT(ISERROR(SEARCH("F",D27)))</formula>
    </cfRule>
    <cfRule type="containsText" dxfId="545" priority="14" operator="containsText" text="E">
      <formula>NOT(ISERROR(SEARCH("E",D27)))</formula>
    </cfRule>
    <cfRule type="containsText" dxfId="544" priority="15" operator="containsText" text="D">
      <formula>NOT(ISERROR(SEARCH("D",D27)))</formula>
    </cfRule>
    <cfRule type="containsText" dxfId="543" priority="16" operator="containsText" text="C">
      <formula>NOT(ISERROR(SEARCH("C",D27)))</formula>
    </cfRule>
    <cfRule type="containsText" dxfId="542" priority="17" operator="containsText" text="B">
      <formula>NOT(ISERROR(SEARCH("B",D27)))</formula>
    </cfRule>
    <cfRule type="containsText" dxfId="541" priority="18" operator="containsText" text="A">
      <formula>NOT(ISERROR(SEARCH("A",D27)))</formula>
    </cfRule>
  </conditionalFormatting>
  <conditionalFormatting sqref="C52">
    <cfRule type="cellIs" dxfId="540" priority="1" operator="equal">
      <formula>4</formula>
    </cfRule>
    <cfRule type="cellIs" dxfId="539" priority="2" operator="equal">
      <formula>3</formula>
    </cfRule>
    <cfRule type="cellIs" dxfId="538" priority="3" operator="equal">
      <formula>2</formula>
    </cfRule>
    <cfRule type="cellIs" dxfId="537" priority="4" operator="equal">
      <formula>1</formula>
    </cfRule>
  </conditionalFormatting>
  <conditionalFormatting sqref="D52">
    <cfRule type="containsText" dxfId="536" priority="5" operator="containsText" text="G">
      <formula>NOT(ISERROR(SEARCH("G",D52)))</formula>
    </cfRule>
    <cfRule type="containsText" dxfId="535" priority="6" operator="containsText" text="F">
      <formula>NOT(ISERROR(SEARCH("F",D52)))</formula>
    </cfRule>
    <cfRule type="containsText" dxfId="534" priority="7" operator="containsText" text="E">
      <formula>NOT(ISERROR(SEARCH("E",D52)))</formula>
    </cfRule>
    <cfRule type="containsText" dxfId="533" priority="8" operator="containsText" text="D">
      <formula>NOT(ISERROR(SEARCH("D",D52)))</formula>
    </cfRule>
    <cfRule type="containsText" dxfId="532" priority="9" operator="containsText" text="C">
      <formula>NOT(ISERROR(SEARCH("C",D52)))</formula>
    </cfRule>
    <cfRule type="containsText" dxfId="531" priority="10" operator="containsText" text="B">
      <formula>NOT(ISERROR(SEARCH("B",D52)))</formula>
    </cfRule>
    <cfRule type="containsText" dxfId="530" priority="11" operator="containsText" text="A">
      <formula>NOT(ISERROR(SEARCH("A",D52)))</formula>
    </cfRule>
  </conditionalFormatting>
  <printOptions horizontalCentered="1" verticalCentered="1"/>
  <pageMargins left="1.2" right="0.7" top="0.25" bottom="0.2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247"/>
  <sheetViews>
    <sheetView topLeftCell="A38" workbookViewId="0">
      <selection activeCell="I61" sqref="I61"/>
    </sheetView>
  </sheetViews>
  <sheetFormatPr defaultColWidth="14.42578125" defaultRowHeight="15" customHeight="1"/>
  <cols>
    <col min="1" max="1" width="24.42578125" bestFit="1" customWidth="1"/>
    <col min="2" max="2" width="7.7109375" customWidth="1"/>
    <col min="3" max="3" width="10.28515625" customWidth="1"/>
    <col min="4" max="4" width="9.28515625" customWidth="1"/>
    <col min="5" max="5" width="9" customWidth="1"/>
    <col min="6" max="6" width="10.140625" customWidth="1"/>
    <col min="7" max="7" width="12.85546875" customWidth="1"/>
    <col min="8" max="8" width="11" hidden="1" customWidth="1"/>
    <col min="9" max="9" width="8.5703125" customWidth="1"/>
    <col min="10" max="10" width="24.85546875" customWidth="1"/>
    <col min="11" max="11" width="9.5703125" customWidth="1"/>
    <col min="12" max="13" width="8" customWidth="1"/>
    <col min="14" max="14" width="9.140625" customWidth="1"/>
    <col min="15" max="15" width="12.42578125" customWidth="1"/>
    <col min="16" max="16" width="17.85546875" customWidth="1"/>
    <col min="17" max="17" width="3.42578125" customWidth="1"/>
    <col min="18" max="18" width="25.140625" customWidth="1"/>
    <col min="19" max="19" width="7.140625" customWidth="1"/>
    <col min="20" max="20" width="9.5703125" customWidth="1"/>
    <col min="21" max="22" width="8" customWidth="1"/>
    <col min="23" max="23" width="9.140625" customWidth="1"/>
    <col min="24" max="24" width="11.28515625" customWidth="1"/>
    <col min="25" max="25" width="17.85546875" customWidth="1"/>
    <col min="26" max="26" width="3.42578125" customWidth="1"/>
    <col min="27" max="27" width="27.42578125" customWidth="1"/>
    <col min="28" max="28" width="7.28515625" customWidth="1"/>
  </cols>
  <sheetData>
    <row r="1" spans="1:9" ht="34.5">
      <c r="A1" s="269" t="s">
        <v>167</v>
      </c>
      <c r="B1" s="270"/>
      <c r="C1" s="146" t="s">
        <v>168</v>
      </c>
      <c r="D1" s="9" t="s">
        <v>35</v>
      </c>
      <c r="E1" s="10">
        <f>G3+G15+G26+F39+G42+G53</f>
        <v>78.599999999999994</v>
      </c>
      <c r="F1" s="11" t="s">
        <v>36</v>
      </c>
      <c r="G1" s="72">
        <f>G5+G17+G28+G39+G44+G55</f>
        <v>69.8</v>
      </c>
      <c r="H1" s="183">
        <f>(H4+H5+H6+H7+H8+H9+H10+H11+H16+H17+H18+H19+H20+H21+H22+H23+H27+H28+H29+H30+H31+H32+H33+H34+H39+H38+H44+H45+H46+H47+H48+H49+H50+H43+H55+H56+H57+H58+H59+H60+H61+H54)/42</f>
        <v>0.74904761904761896</v>
      </c>
      <c r="I1" s="13"/>
    </row>
    <row r="2" spans="1:9" ht="20.25">
      <c r="A2" s="271" t="s">
        <v>2</v>
      </c>
      <c r="B2" s="272"/>
      <c r="C2" s="273" t="str">
        <f>A1</f>
        <v>ALONSO</v>
      </c>
      <c r="D2" s="272"/>
      <c r="E2" s="270"/>
      <c r="F2" s="136" t="s">
        <v>37</v>
      </c>
      <c r="G2" s="15" t="s">
        <v>38</v>
      </c>
      <c r="H2" s="286" t="s">
        <v>39</v>
      </c>
      <c r="I2" s="16"/>
    </row>
    <row r="3" spans="1:9" ht="28.5">
      <c r="A3" s="109" t="s">
        <v>0</v>
      </c>
      <c r="B3" s="110" t="s">
        <v>40</v>
      </c>
      <c r="C3" s="111" t="s">
        <v>41</v>
      </c>
      <c r="D3" s="112" t="s">
        <v>42</v>
      </c>
      <c r="E3" s="113" t="s">
        <v>43</v>
      </c>
      <c r="F3" s="73">
        <f>SUM(E4:E12)</f>
        <v>2.3000000000000003</v>
      </c>
      <c r="G3" s="188">
        <f>10+F3+F5+F11</f>
        <v>14.3</v>
      </c>
      <c r="H3" s="275"/>
      <c r="I3" s="16"/>
    </row>
    <row r="4" spans="1:9" ht="15.75">
      <c r="A4" s="91" t="s">
        <v>169</v>
      </c>
      <c r="B4" s="93">
        <v>16</v>
      </c>
      <c r="C4" s="30">
        <v>2</v>
      </c>
      <c r="D4" s="140" t="s">
        <v>119</v>
      </c>
      <c r="E4" s="172">
        <f t="shared" ref="E4" si="0">IF(D4="F",0.6,IF(D4="C",0.3,IF(D4="D",0.4,IF(D4="E",0.5,IF(D4="A",0.1,IF(D4="G",0.7,IF(D4="H",0.8,IF(D4="B",0.2,""))))))))</f>
        <v>0.4</v>
      </c>
      <c r="F4" s="187" t="s">
        <v>48</v>
      </c>
      <c r="G4" s="21" t="s">
        <v>49</v>
      </c>
      <c r="H4" s="141">
        <v>0.85</v>
      </c>
      <c r="I4" s="16"/>
    </row>
    <row r="5" spans="1:9" ht="15.75">
      <c r="A5" s="23" t="s">
        <v>170</v>
      </c>
      <c r="B5" s="29">
        <v>4</v>
      </c>
      <c r="C5" s="25">
        <v>3</v>
      </c>
      <c r="D5" s="107" t="s">
        <v>119</v>
      </c>
      <c r="E5" s="172">
        <f>IF(D5="F",0.6,IF(D5="C",0.3,IF(D5="D",0.4,IF(D5="E",0.5,IF(D5="A",0.1,IF(D5="G",0.7,IF(D5="H",0.8,IF(D5="B",0.2,""))))))))</f>
        <v>0.4</v>
      </c>
      <c r="F5" s="189">
        <v>2</v>
      </c>
      <c r="G5" s="27">
        <f>G3-1.5</f>
        <v>12.8</v>
      </c>
      <c r="H5" s="141">
        <v>0.9</v>
      </c>
      <c r="I5" s="16"/>
    </row>
    <row r="6" spans="1:9" ht="15.75">
      <c r="A6" s="23" t="s">
        <v>151</v>
      </c>
      <c r="B6" s="29">
        <v>9</v>
      </c>
      <c r="C6" s="25">
        <v>4</v>
      </c>
      <c r="D6" s="140" t="s">
        <v>100</v>
      </c>
      <c r="E6" s="172">
        <f>IF(D6="F",0.6,IF(D6="C",0.3,IF(D6="D",0.4,IF(D6="E",0.5,IF(D6="A",0.1,IF(D6="G",0.7,IF(D6="H",0.8,IF(D6="B",0.2,""))))))))</f>
        <v>0.3</v>
      </c>
      <c r="F6" s="31"/>
      <c r="G6" s="90"/>
      <c r="H6" s="22">
        <v>0.65</v>
      </c>
      <c r="I6" s="16"/>
    </row>
    <row r="7" spans="1:9" ht="15.75">
      <c r="A7" s="23" t="s">
        <v>171</v>
      </c>
      <c r="B7" s="29">
        <v>67</v>
      </c>
      <c r="C7" s="34">
        <v>1</v>
      </c>
      <c r="D7" s="107" t="s">
        <v>47</v>
      </c>
      <c r="E7" s="172">
        <f>IF(D7="F",0.6,IF(D7="C",0.3,IF(D7="D",0.4,IF(D7="E",0.5,IF(D7="A",0.1,IF(D7="G",0.7,IF(D7="H",0.8,IF(D7="B",0.2,""))))))))</f>
        <v>0.1</v>
      </c>
      <c r="F7" s="31"/>
      <c r="G7" s="31"/>
      <c r="H7" s="22">
        <v>0.85</v>
      </c>
      <c r="I7" s="16"/>
    </row>
    <row r="8" spans="1:9" ht="15.75">
      <c r="A8" s="23" t="s">
        <v>172</v>
      </c>
      <c r="B8" s="29">
        <v>16</v>
      </c>
      <c r="C8" s="35">
        <v>3</v>
      </c>
      <c r="D8" s="171" t="s">
        <v>119</v>
      </c>
      <c r="E8" s="172">
        <f>IF(D8="F",0.6,IF(D8="C",0.3,IF(D8="D",0.4,IF(D8="E",0.5,IF(D8="A",0.1,IF(D8="G",0.7,IF(D8="H",0.8,IF(D8="B",0.2,""))))))))</f>
        <v>0.4</v>
      </c>
      <c r="F8" s="31"/>
      <c r="G8" s="31"/>
      <c r="H8" s="22">
        <v>0.85</v>
      </c>
      <c r="I8" s="16"/>
    </row>
    <row r="9" spans="1:9" ht="15.75">
      <c r="A9" s="23" t="s">
        <v>57</v>
      </c>
      <c r="B9" s="192">
        <v>2</v>
      </c>
      <c r="C9" s="35">
        <v>3</v>
      </c>
      <c r="D9" s="140" t="s">
        <v>51</v>
      </c>
      <c r="E9" s="172">
        <f>IF(D9="F",0.6,IF(D9="C",0.3,IF(D9="D",0.4,IF(D9="E",0.5,IF(D9="A",0.1,IF(D9="G",0.7,IF(D9="H",0.8,IF(D9="B",0.2,""))))))))</f>
        <v>0.2</v>
      </c>
      <c r="G9" s="31"/>
      <c r="H9" s="22">
        <v>0.85</v>
      </c>
      <c r="I9" s="16"/>
    </row>
    <row r="10" spans="1:9" ht="15.75">
      <c r="A10" s="124" t="s">
        <v>173</v>
      </c>
      <c r="B10" s="24">
        <v>7</v>
      </c>
      <c r="C10" s="35">
        <v>2</v>
      </c>
      <c r="D10" s="173" t="s">
        <v>47</v>
      </c>
      <c r="E10" s="172">
        <f t="shared" ref="E10" si="1">IF(D10="F",0.6,IF(D10="C",0.3,IF(D10="D",0.4,IF(D10="E",0.5,IF(D10="A",0.1,IF(D10="G",0.7,IF(D10="H",0.8,IF(D10="B",0.2,""))))))))</f>
        <v>0.1</v>
      </c>
      <c r="F10" s="33" t="s">
        <v>56</v>
      </c>
      <c r="G10" s="31"/>
      <c r="H10" s="22">
        <v>0.9</v>
      </c>
      <c r="I10" s="16"/>
    </row>
    <row r="11" spans="1:9" ht="15.75">
      <c r="A11" s="23" t="s">
        <v>148</v>
      </c>
      <c r="B11" s="29">
        <v>10</v>
      </c>
      <c r="C11" s="35">
        <v>4</v>
      </c>
      <c r="D11" s="171" t="s">
        <v>119</v>
      </c>
      <c r="E11" s="172">
        <f>IF(D11="F",0.6,IF(D11="C",0.3,IF(D11="D",0.4,IF(D11="E",0.5,IF(D11="A",0.1,IF(D11="G",0.7,IF(D11="H",0.8,IF(D11="B",0.2,""))))))))</f>
        <v>0.4</v>
      </c>
      <c r="F11" s="36"/>
      <c r="G11" s="31"/>
      <c r="H11" s="22">
        <v>0.9</v>
      </c>
      <c r="I11" s="16"/>
    </row>
    <row r="12" spans="1:9">
      <c r="B12" s="74"/>
      <c r="D12" s="75" t="s">
        <v>174</v>
      </c>
      <c r="E12" s="76"/>
      <c r="G12" s="31"/>
      <c r="H12" s="22"/>
      <c r="I12" s="16"/>
    </row>
    <row r="13" spans="1:9">
      <c r="B13" s="74"/>
      <c r="D13" s="137"/>
      <c r="E13" s="138"/>
      <c r="G13" s="31"/>
      <c r="H13" s="77"/>
      <c r="I13" s="16"/>
    </row>
    <row r="14" spans="1:9" ht="20.25">
      <c r="A14" s="271" t="s">
        <v>58</v>
      </c>
      <c r="B14" s="272"/>
      <c r="C14" s="273" t="str">
        <f>A1</f>
        <v>ALONSO</v>
      </c>
      <c r="D14" s="272"/>
      <c r="E14" s="270"/>
      <c r="F14" s="14" t="s">
        <v>37</v>
      </c>
      <c r="G14" s="15" t="s">
        <v>38</v>
      </c>
      <c r="H14" s="274" t="s">
        <v>39</v>
      </c>
      <c r="I14" s="16"/>
    </row>
    <row r="15" spans="1:9" ht="28.5">
      <c r="A15" s="109" t="s">
        <v>0</v>
      </c>
      <c r="B15" s="110" t="s">
        <v>40</v>
      </c>
      <c r="C15" s="111" t="s">
        <v>41</v>
      </c>
      <c r="D15" s="112" t="s">
        <v>42</v>
      </c>
      <c r="E15" s="113" t="s">
        <v>43</v>
      </c>
      <c r="F15" s="17">
        <f>SUM(E16:E21)</f>
        <v>0.6</v>
      </c>
      <c r="G15" s="18">
        <f>10+F15+F17+F23</f>
        <v>11.799999999999999</v>
      </c>
      <c r="H15" s="275"/>
      <c r="I15" s="16"/>
    </row>
    <row r="16" spans="1:9" ht="15.75">
      <c r="A16" s="23" t="s">
        <v>62</v>
      </c>
      <c r="B16" s="29">
        <v>1</v>
      </c>
      <c r="C16" s="35">
        <v>1</v>
      </c>
      <c r="D16" s="171" t="s">
        <v>47</v>
      </c>
      <c r="E16" s="172">
        <f>IF(D16="F",0.6,IF(D16="C",0.3,IF(D16="D",0.4,IF(D16="E",0.5,IF(D16="A",0.1,IF(D16="G",0.7,IF(D16="H",0.8,IF(D16="B",0.2,""))))))))</f>
        <v>0.1</v>
      </c>
      <c r="F16" s="20" t="s">
        <v>48</v>
      </c>
      <c r="G16" s="21" t="s">
        <v>49</v>
      </c>
      <c r="H16" s="22">
        <v>0.8</v>
      </c>
      <c r="I16" s="16"/>
    </row>
    <row r="17" spans="1:9" ht="15.75">
      <c r="A17" s="23" t="s">
        <v>63</v>
      </c>
      <c r="B17" s="29">
        <v>1</v>
      </c>
      <c r="C17" s="25">
        <v>2</v>
      </c>
      <c r="D17" s="107" t="s">
        <v>47</v>
      </c>
      <c r="E17" s="172">
        <f t="shared" ref="E17:E19" si="2">IF(D17="F",0.6,IF(D17="C",0.3,IF(D17="D",0.4,IF(D17="E",0.5,IF(D17="A",0.1,IF(D17="G",0.7,IF(D17="H",0.8,IF(D17="B",0.2,""))))))))</f>
        <v>0.1</v>
      </c>
      <c r="F17" s="26">
        <v>1.2</v>
      </c>
      <c r="G17" s="27">
        <f>G15-1.5</f>
        <v>10.299999999999999</v>
      </c>
      <c r="H17" s="22">
        <v>0.7</v>
      </c>
      <c r="I17" s="16"/>
    </row>
    <row r="18" spans="1:9" ht="15.75">
      <c r="A18" s="68" t="s">
        <v>64</v>
      </c>
      <c r="B18" s="78">
        <v>1</v>
      </c>
      <c r="C18" s="30">
        <v>3</v>
      </c>
      <c r="D18" s="140" t="s">
        <v>47</v>
      </c>
      <c r="E18" s="172">
        <f t="shared" si="2"/>
        <v>0.1</v>
      </c>
      <c r="G18" s="31"/>
      <c r="H18" s="22">
        <v>0.65</v>
      </c>
      <c r="I18" s="16"/>
    </row>
    <row r="19" spans="1:9" ht="15.75">
      <c r="A19" s="23" t="s">
        <v>59</v>
      </c>
      <c r="B19" s="29">
        <v>7</v>
      </c>
      <c r="C19" s="251">
        <v>2</v>
      </c>
      <c r="D19" s="140" t="s">
        <v>47</v>
      </c>
      <c r="E19" s="172">
        <f t="shared" si="2"/>
        <v>0.1</v>
      </c>
      <c r="G19" s="31"/>
      <c r="H19" s="22">
        <v>0.6</v>
      </c>
      <c r="I19" s="16"/>
    </row>
    <row r="20" spans="1:9" ht="15.75">
      <c r="A20" s="23" t="s">
        <v>60</v>
      </c>
      <c r="B20" s="29">
        <v>25</v>
      </c>
      <c r="C20" s="198">
        <v>2</v>
      </c>
      <c r="D20" s="173" t="s">
        <v>47</v>
      </c>
      <c r="E20" s="172">
        <f>IF(D20="F",0.6,IF(D20="C",0.3,IF(D20="D",0.4,IF(D20="E",0.5,IF(D20="A",0.1,IF(D20="G",0.7,IF(D20="H",0.8,IF(D20="B",0.2,""))))))))</f>
        <v>0.1</v>
      </c>
      <c r="G20" s="31"/>
      <c r="H20" s="22"/>
      <c r="I20" s="16"/>
    </row>
    <row r="21" spans="1:9" ht="15.75" customHeight="1">
      <c r="A21" s="135" t="s">
        <v>65</v>
      </c>
      <c r="B21" s="139">
        <v>1</v>
      </c>
      <c r="C21" s="35">
        <v>4</v>
      </c>
      <c r="D21" s="140" t="s">
        <v>47</v>
      </c>
      <c r="E21" s="172">
        <f>IF(D21="F",0.6,IF(D21="C",0.3,IF(D21="D",0.4,IF(D21="E",0.5,IF(D21="A",0.1,IF(D21="G",0.7,IF(D21="H",0.8,IF(D21="B",0.2,""))))))))</f>
        <v>0.1</v>
      </c>
      <c r="F21" s="40"/>
      <c r="G21" s="31"/>
      <c r="H21" s="22"/>
      <c r="I21" s="16"/>
    </row>
    <row r="22" spans="1:9" ht="15.75" customHeight="1">
      <c r="F22" s="33" t="s">
        <v>56</v>
      </c>
      <c r="G22" s="31"/>
      <c r="H22" s="22">
        <v>0.8</v>
      </c>
      <c r="I22" s="16"/>
    </row>
    <row r="23" spans="1:9" ht="15.75" customHeight="1">
      <c r="F23" s="36"/>
      <c r="G23" s="31"/>
      <c r="H23" s="22">
        <v>0.8</v>
      </c>
      <c r="I23" s="16"/>
    </row>
    <row r="24" spans="1:9" ht="15.75" customHeight="1">
      <c r="B24" s="74"/>
      <c r="G24" s="31"/>
      <c r="H24" s="41"/>
      <c r="I24" s="16"/>
    </row>
    <row r="25" spans="1:9" ht="15.75" customHeight="1">
      <c r="A25" s="271" t="s">
        <v>66</v>
      </c>
      <c r="B25" s="272"/>
      <c r="C25" s="273" t="str">
        <f>A1</f>
        <v>ALONSO</v>
      </c>
      <c r="D25" s="272"/>
      <c r="E25" s="270"/>
      <c r="F25" s="14" t="s">
        <v>37</v>
      </c>
      <c r="G25" s="15" t="s">
        <v>38</v>
      </c>
      <c r="H25" s="274" t="s">
        <v>39</v>
      </c>
      <c r="I25" s="16"/>
    </row>
    <row r="26" spans="1:9" ht="28.5">
      <c r="A26" s="109" t="s">
        <v>0</v>
      </c>
      <c r="B26" s="110" t="s">
        <v>40</v>
      </c>
      <c r="C26" s="111" t="s">
        <v>41</v>
      </c>
      <c r="D26" s="112" t="s">
        <v>42</v>
      </c>
      <c r="E26" s="113" t="s">
        <v>43</v>
      </c>
      <c r="F26" s="17">
        <f>SUM(E27:E34)</f>
        <v>1.5</v>
      </c>
      <c r="G26" s="18">
        <f>10+F26+F28+F34</f>
        <v>12.9</v>
      </c>
      <c r="H26" s="275"/>
      <c r="I26" s="16"/>
    </row>
    <row r="27" spans="1:9" ht="15.75" customHeight="1">
      <c r="A27" s="23" t="s">
        <v>175</v>
      </c>
      <c r="B27" s="29">
        <v>39</v>
      </c>
      <c r="C27" s="35">
        <v>3</v>
      </c>
      <c r="D27" s="171" t="s">
        <v>100</v>
      </c>
      <c r="E27" s="172">
        <f>IF(D27="F",0.6,IF(D27="C",0.3,IF(D27="D",0.4,IF(D27="E",0.5,IF(D27="A",0.1,IF(D27="G",0.7,IF(D27="H",0.8,IF(D27="B",0.2,""))))))))</f>
        <v>0.3</v>
      </c>
      <c r="F27" s="20" t="s">
        <v>48</v>
      </c>
      <c r="G27" s="21" t="s">
        <v>49</v>
      </c>
      <c r="H27" s="22">
        <v>0.65</v>
      </c>
      <c r="I27" s="16"/>
    </row>
    <row r="28" spans="1:9" ht="15.75" customHeight="1">
      <c r="A28" s="23" t="s">
        <v>138</v>
      </c>
      <c r="B28" s="29">
        <v>7</v>
      </c>
      <c r="C28" s="25">
        <v>2</v>
      </c>
      <c r="D28" s="107" t="s">
        <v>47</v>
      </c>
      <c r="E28" s="172">
        <f t="shared" ref="E28" si="3">IF(D28="F",0.6,IF(D28="C",0.3,IF(D28="D",0.4,IF(D28="E",0.5,IF(D28="A",0.1,IF(D28="G",0.7,IF(D28="H",0.8,IF(D28="B",0.2,""))))))))</f>
        <v>0.1</v>
      </c>
      <c r="F28" s="26">
        <v>1.4</v>
      </c>
      <c r="G28" s="27">
        <f>G26-1.5</f>
        <v>11.4</v>
      </c>
      <c r="H28" s="22">
        <v>0.9</v>
      </c>
      <c r="I28" s="16"/>
    </row>
    <row r="29" spans="1:9" ht="15.75" customHeight="1">
      <c r="A29" s="23" t="s">
        <v>155</v>
      </c>
      <c r="B29" s="29">
        <v>37</v>
      </c>
      <c r="C29" s="30">
        <v>1</v>
      </c>
      <c r="D29" s="140" t="s">
        <v>47</v>
      </c>
      <c r="E29" s="172">
        <f>IF(D29="F",0.6,IF(D29="C",0.3,IF(D29="D",0.4,IF(D29="E",0.5,IF(D29="A",0.1,IF(D29="G",0.7,IF(D29="H",0.8,IF(D29="B",0.2,""))))))))</f>
        <v>0.1</v>
      </c>
      <c r="G29" s="31"/>
      <c r="H29" s="22">
        <v>0.9</v>
      </c>
      <c r="I29" s="16"/>
    </row>
    <row r="30" spans="1:9" ht="15.75" customHeight="1">
      <c r="A30" s="23" t="s">
        <v>70</v>
      </c>
      <c r="B30" s="29">
        <v>31</v>
      </c>
      <c r="C30" s="30">
        <v>1</v>
      </c>
      <c r="D30" s="140" t="s">
        <v>47</v>
      </c>
      <c r="E30" s="172">
        <f>IF(D30="F",0.6,IF(D30="C",0.3,IF(D30="D",0.4,IF(D30="E",0.5,IF(D30="A",0.1,IF(D30="G",0.7,IF(D30="H",0.8,IF(D30="B",0.2,""))))))))</f>
        <v>0.1</v>
      </c>
      <c r="G30" s="31"/>
      <c r="H30" s="22">
        <v>0.95</v>
      </c>
      <c r="I30" s="16"/>
    </row>
    <row r="31" spans="1:9" ht="15.75" customHeight="1">
      <c r="A31" s="23" t="s">
        <v>123</v>
      </c>
      <c r="B31" s="29">
        <v>1</v>
      </c>
      <c r="C31" s="25">
        <v>2</v>
      </c>
      <c r="D31" s="140" t="s">
        <v>47</v>
      </c>
      <c r="E31" s="172">
        <f>IF(D31="F",0.6,IF(D31="C",0.3,IF(D31="D",0.4,IF(D31="E",0.5,IF(D31="A",0.1,IF(D31="G",0.7,IF(D31="H",0.8,IF(D31="B",0.2,""))))))))</f>
        <v>0.1</v>
      </c>
      <c r="G31" s="31"/>
      <c r="H31" s="22">
        <v>0.9</v>
      </c>
      <c r="I31" s="16"/>
    </row>
    <row r="32" spans="1:9" ht="15.75" customHeight="1">
      <c r="A32" s="23" t="s">
        <v>124</v>
      </c>
      <c r="B32" s="29">
        <v>26</v>
      </c>
      <c r="C32" s="34">
        <v>2</v>
      </c>
      <c r="D32" s="107" t="s">
        <v>51</v>
      </c>
      <c r="E32" s="172">
        <f>IF(D32="F",0.6,IF(D32="C",0.3,IF(D32="D",0.4,IF(D32="E",0.5,IF(D32="A",0.1,IF(D32="G",0.7,IF(D32="H",0.8,IF(D32="B",0.2,""))))))))</f>
        <v>0.2</v>
      </c>
      <c r="G32" s="31"/>
      <c r="H32" s="22">
        <v>0.65</v>
      </c>
      <c r="I32" s="16"/>
    </row>
    <row r="33" spans="1:15" ht="15.75" customHeight="1">
      <c r="A33" s="23" t="s">
        <v>176</v>
      </c>
      <c r="B33" s="29">
        <v>75</v>
      </c>
      <c r="C33" s="35">
        <v>1</v>
      </c>
      <c r="D33" s="173" t="s">
        <v>100</v>
      </c>
      <c r="E33" s="172">
        <f t="shared" ref="E33:E34" si="4">IF(D33="F",0.6,IF(D33="C",0.3,IF(D33="D",0.4,IF(D33="E",0.5,IF(D33="A",0.1,IF(D33="G",0.7,IF(D33="H",0.8,IF(D33="B",0.2,""))))))))</f>
        <v>0.3</v>
      </c>
      <c r="F33" s="33" t="s">
        <v>56</v>
      </c>
      <c r="G33" s="31"/>
      <c r="H33" s="22">
        <v>0.75</v>
      </c>
      <c r="I33" s="16"/>
    </row>
    <row r="34" spans="1:15" ht="15.75" customHeight="1">
      <c r="A34" s="23" t="s">
        <v>130</v>
      </c>
      <c r="B34" s="29">
        <v>33</v>
      </c>
      <c r="C34" s="35">
        <v>4</v>
      </c>
      <c r="D34" s="140" t="s">
        <v>100</v>
      </c>
      <c r="E34" s="172">
        <f t="shared" si="4"/>
        <v>0.3</v>
      </c>
      <c r="F34" s="36"/>
      <c r="G34" s="31"/>
      <c r="H34" s="22">
        <v>0.7</v>
      </c>
      <c r="I34" s="16"/>
    </row>
    <row r="35" spans="1:15" ht="15.75" customHeight="1">
      <c r="B35" s="74"/>
      <c r="G35" s="31"/>
      <c r="H35" s="41"/>
      <c r="I35" s="16"/>
    </row>
    <row r="36" spans="1:15" ht="15.75" customHeight="1">
      <c r="A36" s="271" t="s">
        <v>75</v>
      </c>
      <c r="B36" s="272"/>
      <c r="C36" s="273" t="str">
        <f>A1</f>
        <v>ALONSO</v>
      </c>
      <c r="D36" s="270"/>
      <c r="E36" s="31"/>
      <c r="G36" s="31"/>
      <c r="H36" s="276" t="s">
        <v>39</v>
      </c>
      <c r="I36" s="16"/>
    </row>
    <row r="37" spans="1:15" ht="23.25">
      <c r="A37" s="114" t="s">
        <v>0</v>
      </c>
      <c r="B37" s="110" t="s">
        <v>40</v>
      </c>
      <c r="C37" s="116" t="s">
        <v>41</v>
      </c>
      <c r="D37" s="117" t="s">
        <v>42</v>
      </c>
      <c r="E37" s="31"/>
      <c r="G37" s="90"/>
      <c r="H37" s="277"/>
      <c r="I37" s="16"/>
    </row>
    <row r="38" spans="1:15" ht="15.75" customHeight="1">
      <c r="A38" s="23" t="s">
        <v>177</v>
      </c>
      <c r="B38" s="29">
        <v>125</v>
      </c>
      <c r="C38" s="35">
        <v>1</v>
      </c>
      <c r="D38" s="28">
        <v>3.6</v>
      </c>
      <c r="E38" s="14" t="s">
        <v>37</v>
      </c>
      <c r="F38" s="130" t="s">
        <v>76</v>
      </c>
      <c r="G38" s="21" t="s">
        <v>49</v>
      </c>
      <c r="H38" s="141">
        <v>0.65</v>
      </c>
      <c r="I38" s="16"/>
    </row>
    <row r="39" spans="1:15" ht="15.75" customHeight="1">
      <c r="A39" s="43" t="s">
        <v>178</v>
      </c>
      <c r="B39" s="121">
        <v>313</v>
      </c>
      <c r="C39" s="30">
        <v>3</v>
      </c>
      <c r="D39" s="65">
        <v>2.8</v>
      </c>
      <c r="E39" s="17"/>
      <c r="F39" s="70">
        <f>10+D38</f>
        <v>13.6</v>
      </c>
      <c r="G39" s="27">
        <f>F39-1.3</f>
        <v>12.299999999999999</v>
      </c>
      <c r="H39" s="141">
        <v>0.7</v>
      </c>
      <c r="I39" s="16"/>
      <c r="J39" s="108"/>
      <c r="K39" s="108"/>
      <c r="L39" s="108"/>
      <c r="M39" s="108"/>
      <c r="N39" s="108"/>
    </row>
    <row r="40" spans="1:15" ht="15.75" customHeight="1">
      <c r="B40" s="74"/>
      <c r="G40" s="90"/>
      <c r="H40" s="41"/>
      <c r="I40" s="186"/>
      <c r="J40" s="230"/>
      <c r="K40" s="231"/>
      <c r="L40" s="230"/>
      <c r="M40" s="230"/>
      <c r="N40" s="232"/>
      <c r="O40" s="108"/>
    </row>
    <row r="41" spans="1:15" ht="15.75" customHeight="1">
      <c r="A41" s="271" t="s">
        <v>78</v>
      </c>
      <c r="B41" s="272"/>
      <c r="C41" s="273" t="str">
        <f>A1</f>
        <v>ALONSO</v>
      </c>
      <c r="D41" s="272"/>
      <c r="E41" s="270"/>
      <c r="F41" s="14" t="s">
        <v>37</v>
      </c>
      <c r="G41" s="15" t="s">
        <v>38</v>
      </c>
      <c r="H41" s="274" t="s">
        <v>39</v>
      </c>
      <c r="I41" s="186"/>
      <c r="O41" s="108"/>
    </row>
    <row r="42" spans="1:15" ht="28.5">
      <c r="A42" s="109" t="s">
        <v>0</v>
      </c>
      <c r="B42" s="110" t="s">
        <v>40</v>
      </c>
      <c r="C42" s="111" t="s">
        <v>41</v>
      </c>
      <c r="D42" s="112" t="s">
        <v>42</v>
      </c>
      <c r="E42" s="113" t="s">
        <v>43</v>
      </c>
      <c r="F42" s="17">
        <f>SUM(E43:E50)</f>
        <v>1.6</v>
      </c>
      <c r="G42" s="18">
        <f>10+F42+F44+F50</f>
        <v>13</v>
      </c>
      <c r="H42" s="275"/>
      <c r="I42" s="186"/>
      <c r="J42" s="108"/>
      <c r="K42" s="108"/>
      <c r="L42" s="108"/>
      <c r="M42" s="108"/>
      <c r="N42" s="108"/>
      <c r="O42" s="108"/>
    </row>
    <row r="43" spans="1:15" ht="15.75" customHeight="1">
      <c r="A43" s="91" t="s">
        <v>79</v>
      </c>
      <c r="B43" s="92">
        <v>73</v>
      </c>
      <c r="C43" s="30">
        <v>3</v>
      </c>
      <c r="D43" s="185" t="s">
        <v>47</v>
      </c>
      <c r="E43" s="204">
        <f t="shared" ref="E43" si="5">IF(D43="F",0.6,IF(D43="C",0.3,IF(D43="D",0.4,IF(D43="E",0.5,IF(D43="A",0.1,IF(D43="G",0.7,IF(D43="H",0.8,IF(D43="B",0.2,""))))))))</f>
        <v>0.1</v>
      </c>
      <c r="F43" s="20" t="s">
        <v>48</v>
      </c>
      <c r="G43" s="21" t="s">
        <v>49</v>
      </c>
      <c r="H43" s="22">
        <v>0.9</v>
      </c>
      <c r="I43" s="186"/>
      <c r="J43" s="108"/>
      <c r="K43" s="108"/>
      <c r="L43" s="108"/>
      <c r="M43" s="108"/>
      <c r="N43" s="108"/>
      <c r="O43" s="108"/>
    </row>
    <row r="44" spans="1:15" ht="15.75" customHeight="1">
      <c r="A44" s="45" t="s">
        <v>83</v>
      </c>
      <c r="B44" s="46">
        <v>8</v>
      </c>
      <c r="C44" s="35">
        <v>2</v>
      </c>
      <c r="D44" s="173" t="s">
        <v>51</v>
      </c>
      <c r="E44" s="172">
        <f>IF(D44="F",0.6,IF(D44="C",0.3,IF(D44="D",0.4,IF(D44="E",0.5,IF(D44="A",0.1,IF(D44="G",0.7,IF(D44="H",0.8,IF(D44="B",0.2,""))))))))</f>
        <v>0.2</v>
      </c>
      <c r="F44" s="26">
        <v>1.4</v>
      </c>
      <c r="G44" s="27">
        <f>G42-1.5</f>
        <v>11.5</v>
      </c>
      <c r="H44" s="22">
        <v>0.85</v>
      </c>
      <c r="I44" s="186"/>
      <c r="J44" s="230"/>
      <c r="K44" s="231"/>
      <c r="L44" s="230"/>
      <c r="M44" s="230"/>
      <c r="N44" s="232"/>
      <c r="O44" s="108"/>
    </row>
    <row r="45" spans="1:15" ht="15.75" customHeight="1">
      <c r="A45" s="23" t="s">
        <v>99</v>
      </c>
      <c r="B45" s="24">
        <v>15</v>
      </c>
      <c r="C45" s="30">
        <v>3</v>
      </c>
      <c r="D45" s="140" t="s">
        <v>100</v>
      </c>
      <c r="E45" s="172">
        <f>IF(D45="F",0.6,IF(D45="C",0.3,IF(D45="D",0.4,IF(D45="E",0.5,IF(D45="A",0.1,IF(D45="G",0.7,IF(D45="H",0.8,IF(D45="B",0.2,""))))))))</f>
        <v>0.3</v>
      </c>
      <c r="G45" s="31"/>
      <c r="H45" s="22">
        <v>0.9</v>
      </c>
      <c r="I45" s="186"/>
      <c r="J45" s="108"/>
      <c r="K45" s="108"/>
      <c r="L45" s="108"/>
      <c r="M45" s="108"/>
      <c r="N45" s="108"/>
      <c r="O45" s="108"/>
    </row>
    <row r="46" spans="1:15" ht="15.75" customHeight="1">
      <c r="A46" s="23" t="s">
        <v>157</v>
      </c>
      <c r="B46" s="24">
        <v>91</v>
      </c>
      <c r="C46" s="30">
        <v>2</v>
      </c>
      <c r="D46" s="140" t="s">
        <v>47</v>
      </c>
      <c r="E46" s="172">
        <f>IF(D46="F",0.6,IF(D46="C",0.3,IF(D46="D",0.4,IF(D46="E",0.5,IF(D46="A",0.1,IF(D46="G",0.7,IF(D46="H",0.8,IF(D46="B",0.2,""))))))))</f>
        <v>0.1</v>
      </c>
      <c r="G46" s="31"/>
      <c r="H46" s="22">
        <v>0.9</v>
      </c>
      <c r="I46" s="186"/>
      <c r="J46" s="108"/>
      <c r="K46" s="108"/>
      <c r="L46" s="108"/>
      <c r="M46" s="108"/>
      <c r="N46" s="108"/>
      <c r="O46" s="108"/>
    </row>
    <row r="47" spans="1:15" ht="15.75" customHeight="1">
      <c r="A47" s="23" t="s">
        <v>127</v>
      </c>
      <c r="B47" s="29">
        <v>21</v>
      </c>
      <c r="C47" s="34">
        <v>3</v>
      </c>
      <c r="D47" s="107" t="s">
        <v>100</v>
      </c>
      <c r="E47" s="172">
        <f>IF(D47="F",0.6,IF(D47="C",0.3,IF(D47="D",0.4,IF(D47="E",0.5,IF(D47="A",0.1,IF(D47="G",0.7,IF(D47="H",0.8,IF(D47="B",0.2,""))))))))</f>
        <v>0.3</v>
      </c>
      <c r="G47" s="31"/>
      <c r="H47" s="22">
        <v>0.95</v>
      </c>
      <c r="I47" s="108"/>
      <c r="O47" s="108"/>
    </row>
    <row r="48" spans="1:15" ht="15.75" customHeight="1">
      <c r="A48" s="23" t="s">
        <v>128</v>
      </c>
      <c r="B48" s="29">
        <v>116</v>
      </c>
      <c r="C48" s="25">
        <v>3</v>
      </c>
      <c r="D48" s="140" t="s">
        <v>51</v>
      </c>
      <c r="E48" s="172">
        <f>IF(D48="F",0.6,IF(D48="C",0.3,IF(D48="D",0.4,IF(D48="E",0.5,IF(D48="A",0.1,IF(D48="G",0.7,IF(D48="H",0.8,IF(D48="B",0.2,""))))))))</f>
        <v>0.2</v>
      </c>
      <c r="G48" s="31"/>
      <c r="H48" s="22">
        <v>0.7</v>
      </c>
      <c r="I48" s="16"/>
    </row>
    <row r="49" spans="1:9" ht="15.75" customHeight="1">
      <c r="A49" s="23" t="s">
        <v>81</v>
      </c>
      <c r="B49" s="24">
        <v>1</v>
      </c>
      <c r="C49" s="35">
        <v>1</v>
      </c>
      <c r="D49" s="171" t="s">
        <v>47</v>
      </c>
      <c r="E49" s="172">
        <f>IF(D49="F",0.6,IF(D49="C",0.3,IF(D49="D",0.4,IF(D49="E",0.5,IF(D49="A",0.1,IF(D49="G",0.7,IF(D49="H",0.8,IF(D49="B",0.2,""))))))))</f>
        <v>0.1</v>
      </c>
      <c r="F49" s="33" t="s">
        <v>56</v>
      </c>
      <c r="G49" s="31"/>
      <c r="H49" s="22">
        <v>0.8</v>
      </c>
      <c r="I49" s="16"/>
    </row>
    <row r="50" spans="1:9" ht="15.75" customHeight="1">
      <c r="A50" s="23" t="s">
        <v>179</v>
      </c>
      <c r="B50" s="29">
        <v>45</v>
      </c>
      <c r="C50" s="35">
        <v>4</v>
      </c>
      <c r="D50" s="140" t="s">
        <v>100</v>
      </c>
      <c r="E50" s="172">
        <f>IF(D50="F",0.6,IF(D50="C",0.3,IF(D50="D",0.4,IF(D50="E",0.5,IF(D50="A",0.1,IF(D50="G",0.7,IF(D50="H",0.8,IF(D50="B",0.2,""))))))))</f>
        <v>0.3</v>
      </c>
      <c r="F50" s="36"/>
      <c r="G50" s="31"/>
      <c r="H50" s="22">
        <v>0.9</v>
      </c>
      <c r="I50" s="16"/>
    </row>
    <row r="51" spans="1:9" ht="15.75" customHeight="1">
      <c r="B51" s="74"/>
      <c r="G51" s="31"/>
      <c r="H51" s="41"/>
      <c r="I51" s="16"/>
    </row>
    <row r="52" spans="1:9" ht="15.75" customHeight="1">
      <c r="A52" s="271" t="s">
        <v>7</v>
      </c>
      <c r="B52" s="272"/>
      <c r="C52" s="273" t="str">
        <f>A1</f>
        <v>ALONSO</v>
      </c>
      <c r="D52" s="272"/>
      <c r="E52" s="270"/>
      <c r="F52" s="14" t="s">
        <v>37</v>
      </c>
      <c r="G52" s="15" t="s">
        <v>38</v>
      </c>
      <c r="H52" s="274" t="s">
        <v>39</v>
      </c>
      <c r="I52" s="16"/>
    </row>
    <row r="53" spans="1:9" ht="28.5">
      <c r="A53" s="103" t="s">
        <v>0</v>
      </c>
      <c r="B53" s="127" t="s">
        <v>40</v>
      </c>
      <c r="C53" s="128" t="s">
        <v>41</v>
      </c>
      <c r="D53" s="51" t="s">
        <v>42</v>
      </c>
      <c r="E53" s="129" t="s">
        <v>43</v>
      </c>
      <c r="F53" s="17">
        <f>SUM(E54:E62)</f>
        <v>1.4000000000000001</v>
      </c>
      <c r="G53" s="18">
        <f>10+F53+F55+F61</f>
        <v>13</v>
      </c>
      <c r="H53" s="275"/>
      <c r="I53" s="16"/>
    </row>
    <row r="54" spans="1:9" ht="15.75" customHeight="1">
      <c r="A54" s="23" t="s">
        <v>142</v>
      </c>
      <c r="B54" s="29">
        <v>58</v>
      </c>
      <c r="C54" s="35">
        <v>2</v>
      </c>
      <c r="D54" s="211" t="s">
        <v>119</v>
      </c>
      <c r="E54" s="172">
        <f>IF(D54="F",0.6,IF(D54="C",0.3,IF(D54="D",0.4,IF(D54="E",0.5,IF(D54="A",0.1,IF(D54="G",0.7,IF(D54="H",0.8,IF(D54="B",0.2,""))))))))</f>
        <v>0.4</v>
      </c>
      <c r="F54" s="52" t="s">
        <v>48</v>
      </c>
      <c r="G54" s="21" t="s">
        <v>49</v>
      </c>
      <c r="H54" s="22">
        <v>0.85</v>
      </c>
      <c r="I54" s="16"/>
    </row>
    <row r="55" spans="1:9" ht="15.75" customHeight="1">
      <c r="A55" s="23" t="s">
        <v>89</v>
      </c>
      <c r="B55" s="24">
        <v>1</v>
      </c>
      <c r="C55" s="35">
        <v>3</v>
      </c>
      <c r="D55" s="211" t="s">
        <v>47</v>
      </c>
      <c r="E55" s="172">
        <f>IF(D55="F",0.6,IF(D55="C",0.3,IF(D55="D",0.4,IF(D55="E",0.5,IF(D55="A",0.1,IF(D55="G",0.7,IF(D55="H",0.8,IF(D55="B",0.2,""))))))))</f>
        <v>0.1</v>
      </c>
      <c r="F55" s="53">
        <v>1.6</v>
      </c>
      <c r="G55" s="27">
        <f>G53-1.5</f>
        <v>11.5</v>
      </c>
      <c r="H55" s="22">
        <v>0.85</v>
      </c>
      <c r="I55" s="16"/>
    </row>
    <row r="56" spans="1:9" ht="15.75" customHeight="1">
      <c r="A56" s="23" t="s">
        <v>59</v>
      </c>
      <c r="B56" s="29">
        <v>13</v>
      </c>
      <c r="C56" s="35">
        <v>1</v>
      </c>
      <c r="D56" s="25" t="s">
        <v>47</v>
      </c>
      <c r="E56" s="172">
        <f>IF(D56="F",0.6,IF(D56="C",0.3,IF(D56="D",0.4,IF(D56="E",0.5,IF(D56="A",0.1,IF(D56="G",0.7,IF(D56="H",0.8,IF(D56="B",0.2,""))))))))</f>
        <v>0.1</v>
      </c>
      <c r="F56" s="158"/>
      <c r="G56" s="31"/>
      <c r="H56" s="22">
        <v>0.6</v>
      </c>
      <c r="I56" s="16"/>
    </row>
    <row r="57" spans="1:9" ht="15.75" customHeight="1">
      <c r="A57" s="23" t="s">
        <v>86</v>
      </c>
      <c r="B57" s="24"/>
      <c r="C57" s="34">
        <v>1</v>
      </c>
      <c r="D57" s="184" t="s">
        <v>47</v>
      </c>
      <c r="E57" s="172">
        <f t="shared" ref="E57" si="6">IF(D57="F",0.6,IF(D57="C",0.3,IF(D57="D",0.4,IF(D57="E",0.5,IF(D57="A",0.1,IF(D57="G",0.7,IF(D57="H",0.8,IF(D57="B",0.2,""))))))))</f>
        <v>0.1</v>
      </c>
      <c r="F57" s="90"/>
      <c r="G57" s="31"/>
      <c r="H57" s="22">
        <v>0.95</v>
      </c>
      <c r="I57" s="16"/>
    </row>
    <row r="58" spans="1:9" ht="15.75" customHeight="1">
      <c r="A58" s="23" t="s">
        <v>87</v>
      </c>
      <c r="B58" s="29">
        <v>31</v>
      </c>
      <c r="C58" s="25">
        <v>1</v>
      </c>
      <c r="D58" s="184" t="s">
        <v>47</v>
      </c>
      <c r="E58" s="172">
        <f>IF(D58="F",0.6,IF(D58="C",0.3,IF(D58="D",0.4,IF(D58="E",0.5,IF(D58="A",0.1,IF(D58="G",0.7,IF(D58="H",0.8,IF(D58="B",0.2,""))))))))</f>
        <v>0.1</v>
      </c>
      <c r="F58" s="90"/>
      <c r="G58" s="31"/>
      <c r="H58" s="22">
        <v>0.9</v>
      </c>
      <c r="I58" s="16"/>
    </row>
    <row r="59" spans="1:9" ht="15.75" customHeight="1">
      <c r="A59" s="23" t="s">
        <v>180</v>
      </c>
      <c r="B59" s="29">
        <v>44</v>
      </c>
      <c r="C59" s="25">
        <v>1</v>
      </c>
      <c r="D59" s="184" t="s">
        <v>51</v>
      </c>
      <c r="E59" s="172">
        <f>IF(D59="F",0.6,IF(D59="C",0.3,IF(D59="D",0.4,IF(D59="E",0.5,IF(D59="A",0.1,IF(D59="G",0.7,IF(D59="H",0.8,IF(D59="B",0.2,""))))))))</f>
        <v>0.2</v>
      </c>
      <c r="F59" s="158"/>
      <c r="G59" s="31"/>
      <c r="H59" s="22">
        <v>0.85</v>
      </c>
      <c r="I59" s="16"/>
    </row>
    <row r="60" spans="1:9" ht="15.75" customHeight="1">
      <c r="A60" s="45" t="s">
        <v>101</v>
      </c>
      <c r="B60" s="46">
        <v>25</v>
      </c>
      <c r="C60" s="25">
        <v>3</v>
      </c>
      <c r="D60" s="185" t="s">
        <v>47</v>
      </c>
      <c r="E60" s="190">
        <f>IF(D60="F",0.6,IF(D60="C",0.3,IF(D60="D",0.4,IF(D60="E",0.5,IF(D60="A",0.1,IF(D60="G",0.7,IF(D60="H",0.8,IF(D60="B",0.2,""))))))))</f>
        <v>0.1</v>
      </c>
      <c r="F60" s="33" t="s">
        <v>56</v>
      </c>
      <c r="G60" s="90"/>
      <c r="H60" s="22">
        <v>0.01</v>
      </c>
      <c r="I60" s="16"/>
    </row>
    <row r="61" spans="1:9" ht="15.75" customHeight="1">
      <c r="A61" s="124" t="s">
        <v>130</v>
      </c>
      <c r="B61" s="24">
        <v>39</v>
      </c>
      <c r="C61" s="198">
        <v>4</v>
      </c>
      <c r="D61" s="140" t="s">
        <v>100</v>
      </c>
      <c r="E61" s="172">
        <f t="shared" ref="E61" si="7">IF(D61="F",0.6,IF(D61="C",0.3,IF(D61="D",0.4,IF(D61="E",0.5,IF(D61="A",0.1,IF(D61="G",0.7,IF(D61="H",0.8,IF(D61="B",0.2,""))))))))</f>
        <v>0.3</v>
      </c>
      <c r="F61" s="36"/>
      <c r="G61" s="90"/>
      <c r="H61" s="22">
        <v>0.7</v>
      </c>
      <c r="I61" s="16"/>
    </row>
    <row r="62" spans="1:9" ht="15.75" customHeight="1">
      <c r="A62" s="108"/>
      <c r="B62" s="212"/>
      <c r="C62" s="108"/>
      <c r="D62" s="213" t="s">
        <v>174</v>
      </c>
      <c r="E62" s="214"/>
      <c r="F62" s="108"/>
      <c r="G62" s="31"/>
      <c r="H62" s="41"/>
      <c r="I62" s="16"/>
    </row>
    <row r="63" spans="1:9" ht="15.75" customHeight="1">
      <c r="B63" s="74"/>
      <c r="G63" s="31"/>
      <c r="H63" s="41"/>
      <c r="I63" s="16"/>
    </row>
    <row r="64" spans="1:9" ht="15.75" customHeight="1">
      <c r="B64" s="37"/>
      <c r="H64" s="60"/>
      <c r="I64" s="16"/>
    </row>
    <row r="65" spans="2:9" ht="15.75" customHeight="1">
      <c r="B65" s="37"/>
      <c r="H65" s="60"/>
      <c r="I65" s="16"/>
    </row>
    <row r="66" spans="2:9" ht="15.75" customHeight="1">
      <c r="B66" s="37"/>
      <c r="H66" s="60"/>
      <c r="I66" s="16"/>
    </row>
    <row r="67" spans="2:9" ht="15.75" customHeight="1">
      <c r="H67" s="60"/>
      <c r="I67" s="16"/>
    </row>
    <row r="68" spans="2:9" ht="15.75" customHeight="1">
      <c r="B68" s="37"/>
      <c r="H68" s="60"/>
      <c r="I68" s="16"/>
    </row>
    <row r="69" spans="2:9" ht="15.75" customHeight="1">
      <c r="B69" s="37"/>
      <c r="H69" s="60"/>
      <c r="I69" s="16"/>
    </row>
    <row r="70" spans="2:9" ht="15.75" customHeight="1">
      <c r="B70" s="37"/>
      <c r="H70" s="60"/>
      <c r="I70" s="16"/>
    </row>
    <row r="71" spans="2:9" ht="15.75" customHeight="1">
      <c r="B71" s="37"/>
      <c r="H71" s="60"/>
      <c r="I71" s="16"/>
    </row>
    <row r="72" spans="2:9" ht="15.75" customHeight="1">
      <c r="B72" s="37"/>
      <c r="H72" s="60"/>
      <c r="I72" s="16"/>
    </row>
    <row r="73" spans="2:9" ht="15.75" customHeight="1">
      <c r="B73" s="37"/>
      <c r="H73" s="60"/>
      <c r="I73" s="16"/>
    </row>
    <row r="74" spans="2:9" ht="15.75" customHeight="1">
      <c r="B74" s="37"/>
      <c r="H74" s="60"/>
      <c r="I74" s="16"/>
    </row>
    <row r="75" spans="2:9" ht="15.75" customHeight="1">
      <c r="B75" s="37"/>
      <c r="H75" s="60"/>
      <c r="I75" s="16"/>
    </row>
    <row r="76" spans="2:9" ht="15.75" customHeight="1">
      <c r="B76" s="37"/>
      <c r="H76" s="60"/>
      <c r="I76" s="16"/>
    </row>
    <row r="77" spans="2:9" ht="15.75" customHeight="1">
      <c r="B77" s="37"/>
      <c r="H77" s="60"/>
      <c r="I77" s="16"/>
    </row>
    <row r="78" spans="2:9" ht="15.75" customHeight="1">
      <c r="B78" s="37"/>
      <c r="H78" s="60"/>
      <c r="I78" s="16"/>
    </row>
    <row r="79" spans="2:9" ht="15.75" customHeight="1">
      <c r="B79" s="37"/>
      <c r="H79" s="60"/>
      <c r="I79" s="16"/>
    </row>
    <row r="80" spans="2:9" ht="15.75" customHeight="1">
      <c r="B80" s="37"/>
      <c r="H80" s="60"/>
      <c r="I80" s="16"/>
    </row>
    <row r="81" spans="2:9" ht="15.75" customHeight="1">
      <c r="B81" s="37"/>
      <c r="H81" s="60"/>
      <c r="I81" s="16"/>
    </row>
    <row r="82" spans="2:9" ht="15.75" customHeight="1">
      <c r="B82" s="37"/>
      <c r="H82" s="60"/>
      <c r="I82" s="16"/>
    </row>
    <row r="83" spans="2:9" ht="15.75" customHeight="1">
      <c r="B83" s="37"/>
      <c r="H83" s="60"/>
      <c r="I83" s="16"/>
    </row>
    <row r="84" spans="2:9" ht="15.75" customHeight="1">
      <c r="B84" s="37"/>
      <c r="H84" s="60"/>
      <c r="I84" s="16"/>
    </row>
    <row r="85" spans="2:9" ht="15.75" customHeight="1">
      <c r="B85" s="37"/>
      <c r="H85" s="60"/>
      <c r="I85" s="16"/>
    </row>
    <row r="86" spans="2:9" ht="15.75" customHeight="1">
      <c r="B86" s="37"/>
      <c r="H86" s="60"/>
      <c r="I86" s="16"/>
    </row>
    <row r="87" spans="2:9" ht="15.75" customHeight="1">
      <c r="B87" s="37"/>
      <c r="H87" s="60"/>
      <c r="I87" s="16"/>
    </row>
    <row r="88" spans="2:9" ht="15.75" customHeight="1">
      <c r="B88" s="37"/>
      <c r="H88" s="60"/>
      <c r="I88" s="16"/>
    </row>
    <row r="89" spans="2:9" ht="15.75" customHeight="1">
      <c r="B89" s="37"/>
      <c r="H89" s="60"/>
      <c r="I89" s="16"/>
    </row>
    <row r="90" spans="2:9" ht="15.75" customHeight="1">
      <c r="B90" s="37"/>
      <c r="H90" s="60"/>
      <c r="I90" s="16"/>
    </row>
    <row r="91" spans="2:9" ht="15.75" customHeight="1">
      <c r="B91" s="37"/>
      <c r="H91" s="60"/>
      <c r="I91" s="16"/>
    </row>
    <row r="92" spans="2:9" ht="15.75" customHeight="1">
      <c r="B92" s="37"/>
      <c r="H92" s="60"/>
      <c r="I92" s="16"/>
    </row>
    <row r="93" spans="2:9" ht="15.75" customHeight="1">
      <c r="B93" s="37"/>
      <c r="H93" s="60"/>
      <c r="I93" s="16"/>
    </row>
    <row r="94" spans="2:9" ht="15.75" customHeight="1">
      <c r="B94" s="37"/>
      <c r="H94" s="60"/>
      <c r="I94" s="16"/>
    </row>
    <row r="95" spans="2:9" ht="15.75" customHeight="1">
      <c r="B95" s="37"/>
      <c r="H95" s="60"/>
      <c r="I95" s="16"/>
    </row>
    <row r="96" spans="2:9" ht="15.75" customHeight="1">
      <c r="B96" s="37"/>
      <c r="H96" s="60"/>
      <c r="I96" s="16"/>
    </row>
    <row r="97" spans="2:9" ht="15.75" customHeight="1">
      <c r="B97" s="37"/>
      <c r="H97" s="60"/>
      <c r="I97" s="16"/>
    </row>
    <row r="98" spans="2:9" ht="15.75" customHeight="1">
      <c r="B98" s="37"/>
      <c r="H98" s="60"/>
      <c r="I98" s="16"/>
    </row>
    <row r="99" spans="2:9" ht="15.75" customHeight="1">
      <c r="B99" s="37"/>
      <c r="H99" s="60"/>
      <c r="I99" s="16"/>
    </row>
    <row r="100" spans="2:9" ht="15.75" customHeight="1">
      <c r="B100" s="37"/>
      <c r="H100" s="60"/>
      <c r="I100" s="16"/>
    </row>
    <row r="101" spans="2:9" ht="15.75" customHeight="1">
      <c r="B101" s="37"/>
      <c r="H101" s="60"/>
      <c r="I101" s="16"/>
    </row>
    <row r="102" spans="2:9" ht="15.75" customHeight="1">
      <c r="B102" s="37"/>
      <c r="H102" s="60"/>
      <c r="I102" s="16"/>
    </row>
    <row r="103" spans="2:9" ht="15.75" customHeight="1">
      <c r="B103" s="37"/>
      <c r="H103" s="60"/>
      <c r="I103" s="16"/>
    </row>
    <row r="104" spans="2:9" ht="15.75" customHeight="1">
      <c r="B104" s="37"/>
      <c r="H104" s="60"/>
      <c r="I104" s="16"/>
    </row>
    <row r="105" spans="2:9" ht="15.75" customHeight="1">
      <c r="B105" s="37"/>
      <c r="H105" s="60"/>
      <c r="I105" s="16"/>
    </row>
    <row r="106" spans="2:9" ht="15.75" customHeight="1">
      <c r="B106" s="37"/>
      <c r="H106" s="60"/>
      <c r="I106" s="16"/>
    </row>
    <row r="107" spans="2:9" ht="15.75" customHeight="1">
      <c r="B107" s="37"/>
      <c r="H107" s="60"/>
      <c r="I107" s="16"/>
    </row>
    <row r="108" spans="2:9" ht="15.75" customHeight="1">
      <c r="B108" s="37"/>
      <c r="H108" s="60"/>
      <c r="I108" s="16"/>
    </row>
    <row r="109" spans="2:9" ht="15.75" customHeight="1">
      <c r="B109" s="37"/>
      <c r="H109" s="60"/>
      <c r="I109" s="16"/>
    </row>
    <row r="110" spans="2:9" ht="15.75" customHeight="1">
      <c r="B110" s="37"/>
      <c r="H110" s="60"/>
      <c r="I110" s="16"/>
    </row>
    <row r="111" spans="2:9" ht="15.75" customHeight="1">
      <c r="B111" s="37"/>
      <c r="H111" s="60"/>
      <c r="I111" s="16"/>
    </row>
    <row r="112" spans="2:9" ht="15.75" customHeight="1">
      <c r="B112" s="37"/>
      <c r="H112" s="60"/>
      <c r="I112" s="16"/>
    </row>
    <row r="113" spans="2:28" ht="15.75" customHeight="1">
      <c r="B113" s="37"/>
      <c r="H113" s="60"/>
      <c r="I113" s="16"/>
    </row>
    <row r="114" spans="2:28" ht="15.75" customHeight="1">
      <c r="B114" s="37"/>
      <c r="H114" s="60"/>
      <c r="I114" s="16"/>
    </row>
    <row r="115" spans="2:28" ht="15.75" customHeight="1">
      <c r="B115" s="37"/>
      <c r="H115" s="60"/>
      <c r="I115" s="16"/>
    </row>
    <row r="116" spans="2:28" ht="15.75" customHeight="1">
      <c r="B116" s="37"/>
      <c r="H116" s="60"/>
      <c r="I116" s="16"/>
    </row>
    <row r="117" spans="2:28" ht="15.75" customHeight="1">
      <c r="B117" s="37"/>
      <c r="H117" s="60"/>
      <c r="I117" s="16"/>
    </row>
    <row r="118" spans="2:28" ht="15.75" customHeight="1">
      <c r="B118" s="37"/>
      <c r="H118" s="60"/>
      <c r="I118" s="16"/>
    </row>
    <row r="119" spans="2:28" ht="15.75" customHeight="1">
      <c r="B119" s="37"/>
      <c r="H119" s="60"/>
      <c r="I119" s="16"/>
    </row>
    <row r="120" spans="2:28" ht="15.75" customHeight="1">
      <c r="B120" s="37"/>
      <c r="H120" s="60"/>
      <c r="I120" s="16"/>
    </row>
    <row r="121" spans="2:28" ht="15.75" customHeight="1">
      <c r="B121" s="37"/>
      <c r="H121" s="60"/>
      <c r="I121" s="16"/>
    </row>
    <row r="122" spans="2:28" ht="15.75" customHeight="1">
      <c r="B122" s="37"/>
      <c r="H122" s="60"/>
      <c r="I122" s="16"/>
    </row>
    <row r="123" spans="2:28" ht="15.75" customHeight="1">
      <c r="B123" s="37"/>
      <c r="H123" s="60"/>
      <c r="I123" s="16"/>
    </row>
    <row r="124" spans="2:28" ht="15.75" customHeight="1">
      <c r="B124" s="37"/>
      <c r="H124" s="60"/>
      <c r="I124" s="16"/>
      <c r="J124" s="79"/>
      <c r="P124" s="80"/>
      <c r="S124" s="79"/>
      <c r="Y124" s="80"/>
      <c r="AB124" s="79"/>
    </row>
    <row r="125" spans="2:28" ht="15.75" customHeight="1">
      <c r="B125" s="37"/>
      <c r="H125" s="60"/>
      <c r="I125" s="16"/>
    </row>
    <row r="126" spans="2:28" ht="15.75" customHeight="1">
      <c r="B126" s="37"/>
      <c r="H126" s="60"/>
      <c r="I126" s="16"/>
    </row>
    <row r="127" spans="2:28" ht="15.75" customHeight="1">
      <c r="B127" s="37"/>
      <c r="H127" s="60"/>
      <c r="I127" s="16"/>
    </row>
    <row r="128" spans="2:28" ht="15.75" customHeight="1">
      <c r="B128" s="37"/>
      <c r="H128" s="60"/>
      <c r="I128" s="16"/>
    </row>
    <row r="129" spans="2:9" ht="15.75" customHeight="1">
      <c r="B129" s="37"/>
      <c r="H129" s="60"/>
      <c r="I129" s="16"/>
    </row>
    <row r="130" spans="2:9" ht="15.75" customHeight="1">
      <c r="B130" s="37"/>
      <c r="H130" s="60"/>
      <c r="I130" s="16"/>
    </row>
    <row r="131" spans="2:9" ht="15.75" customHeight="1">
      <c r="B131" s="37"/>
      <c r="H131" s="60"/>
      <c r="I131" s="16"/>
    </row>
    <row r="132" spans="2:9" ht="15.75" customHeight="1">
      <c r="B132" s="37"/>
      <c r="H132" s="60"/>
      <c r="I132" s="16"/>
    </row>
    <row r="133" spans="2:9" ht="15.75" customHeight="1">
      <c r="B133" s="37"/>
      <c r="H133" s="60"/>
      <c r="I133" s="16"/>
    </row>
    <row r="134" spans="2:9" ht="15.75" customHeight="1">
      <c r="B134" s="37"/>
      <c r="H134" s="60"/>
      <c r="I134" s="16"/>
    </row>
    <row r="135" spans="2:9" ht="15.75" customHeight="1">
      <c r="B135" s="37"/>
      <c r="H135" s="60"/>
      <c r="I135" s="16"/>
    </row>
    <row r="136" spans="2:9" ht="15.75" customHeight="1">
      <c r="B136" s="37"/>
      <c r="H136" s="60"/>
      <c r="I136" s="16"/>
    </row>
    <row r="137" spans="2:9" ht="15.75" customHeight="1">
      <c r="B137" s="37"/>
      <c r="H137" s="60"/>
      <c r="I137" s="16"/>
    </row>
    <row r="138" spans="2:9" ht="15.75" customHeight="1">
      <c r="B138" s="37"/>
      <c r="H138" s="60"/>
      <c r="I138" s="16"/>
    </row>
    <row r="139" spans="2:9" ht="15.75" customHeight="1">
      <c r="B139" s="37"/>
      <c r="H139" s="60"/>
      <c r="I139" s="16"/>
    </row>
    <row r="140" spans="2:9" ht="15.75" customHeight="1">
      <c r="B140" s="37"/>
      <c r="H140" s="60"/>
      <c r="I140" s="16"/>
    </row>
    <row r="141" spans="2:9" ht="15.75" customHeight="1">
      <c r="B141" s="37"/>
      <c r="H141" s="60"/>
      <c r="I141" s="16"/>
    </row>
    <row r="142" spans="2:9" ht="15.75" customHeight="1">
      <c r="B142" s="37"/>
      <c r="H142" s="60"/>
      <c r="I142" s="16"/>
    </row>
    <row r="143" spans="2:9" ht="15.75" customHeight="1">
      <c r="B143" s="37"/>
      <c r="H143" s="60"/>
      <c r="I143" s="16"/>
    </row>
    <row r="144" spans="2:9" ht="15.75" customHeight="1">
      <c r="B144" s="37"/>
      <c r="H144" s="60"/>
      <c r="I144" s="16"/>
    </row>
    <row r="145" spans="2:9" ht="15.75" customHeight="1">
      <c r="B145" s="37"/>
      <c r="H145" s="60"/>
      <c r="I145" s="16"/>
    </row>
    <row r="146" spans="2:9" ht="15.75" customHeight="1">
      <c r="B146" s="37"/>
      <c r="H146" s="60"/>
      <c r="I146" s="16"/>
    </row>
    <row r="147" spans="2:9" ht="15.75" customHeight="1">
      <c r="B147" s="37"/>
      <c r="H147" s="60"/>
      <c r="I147" s="16"/>
    </row>
    <row r="148" spans="2:9" ht="15.75" customHeight="1">
      <c r="B148" s="37"/>
      <c r="H148" s="60"/>
      <c r="I148" s="16"/>
    </row>
    <row r="149" spans="2:9" ht="15.75" customHeight="1">
      <c r="B149" s="37"/>
      <c r="H149" s="60"/>
      <c r="I149" s="16"/>
    </row>
    <row r="150" spans="2:9" ht="15.75" customHeight="1">
      <c r="B150" s="37"/>
      <c r="H150" s="60"/>
      <c r="I150" s="16"/>
    </row>
    <row r="151" spans="2:9" ht="15.75" customHeight="1">
      <c r="B151" s="37"/>
      <c r="H151" s="60"/>
      <c r="I151" s="16"/>
    </row>
    <row r="152" spans="2:9" ht="15.75" customHeight="1">
      <c r="B152" s="37"/>
      <c r="H152" s="60"/>
      <c r="I152" s="16"/>
    </row>
    <row r="153" spans="2:9" ht="15.75" customHeight="1">
      <c r="B153" s="37"/>
      <c r="H153" s="60"/>
      <c r="I153" s="16"/>
    </row>
    <row r="154" spans="2:9" ht="15.75" customHeight="1">
      <c r="B154" s="37"/>
      <c r="H154" s="60"/>
      <c r="I154" s="16"/>
    </row>
    <row r="155" spans="2:9" ht="15.75" customHeight="1">
      <c r="B155" s="37"/>
      <c r="H155" s="60"/>
      <c r="I155" s="16"/>
    </row>
    <row r="156" spans="2:9" ht="15.75" customHeight="1">
      <c r="B156" s="37"/>
      <c r="H156" s="60"/>
      <c r="I156" s="16"/>
    </row>
    <row r="157" spans="2:9" ht="15.75" customHeight="1">
      <c r="B157" s="37"/>
      <c r="H157" s="60"/>
      <c r="I157" s="16"/>
    </row>
    <row r="158" spans="2:9" ht="15.75" customHeight="1">
      <c r="B158" s="37"/>
      <c r="H158" s="60"/>
      <c r="I158" s="16"/>
    </row>
    <row r="159" spans="2:9" ht="15.75" customHeight="1">
      <c r="B159" s="37"/>
      <c r="H159" s="60"/>
      <c r="I159" s="16"/>
    </row>
    <row r="160" spans="2:9" ht="15.75" customHeight="1">
      <c r="B160" s="37"/>
      <c r="H160" s="60"/>
      <c r="I160" s="16"/>
    </row>
    <row r="161" spans="2:9" ht="15.75" customHeight="1">
      <c r="B161" s="37"/>
      <c r="H161" s="60"/>
      <c r="I161" s="16"/>
    </row>
    <row r="162" spans="2:9" ht="15.75" customHeight="1">
      <c r="B162" s="37"/>
      <c r="H162" s="60"/>
      <c r="I162" s="16"/>
    </row>
    <row r="163" spans="2:9" ht="15.75" customHeight="1">
      <c r="B163" s="37"/>
      <c r="H163" s="60"/>
      <c r="I163" s="16"/>
    </row>
    <row r="164" spans="2:9" ht="15.75" customHeight="1">
      <c r="B164" s="37"/>
      <c r="H164" s="60"/>
      <c r="I164" s="16"/>
    </row>
    <row r="165" spans="2:9" ht="15.75" customHeight="1">
      <c r="B165" s="37"/>
      <c r="H165" s="60"/>
      <c r="I165" s="16"/>
    </row>
    <row r="166" spans="2:9" ht="15.75" customHeight="1">
      <c r="B166" s="37"/>
      <c r="H166" s="60"/>
      <c r="I166" s="16"/>
    </row>
    <row r="167" spans="2:9" ht="15.75" customHeight="1">
      <c r="B167" s="37"/>
      <c r="H167" s="60"/>
      <c r="I167" s="16"/>
    </row>
    <row r="168" spans="2:9" ht="15.75" customHeight="1">
      <c r="B168" s="37"/>
      <c r="H168" s="60"/>
      <c r="I168" s="16"/>
    </row>
    <row r="169" spans="2:9" ht="15.75" customHeight="1">
      <c r="B169" s="37"/>
      <c r="H169" s="60"/>
      <c r="I169" s="16"/>
    </row>
    <row r="170" spans="2:9" ht="15.75" customHeight="1">
      <c r="B170" s="37"/>
      <c r="H170" s="60"/>
      <c r="I170" s="16"/>
    </row>
    <row r="171" spans="2:9" ht="15.75" customHeight="1">
      <c r="B171" s="37"/>
      <c r="H171" s="60"/>
      <c r="I171" s="16"/>
    </row>
    <row r="172" spans="2:9" ht="15.75" customHeight="1">
      <c r="B172" s="37"/>
      <c r="H172" s="60"/>
      <c r="I172" s="16"/>
    </row>
    <row r="173" spans="2:9" ht="15.75" customHeight="1">
      <c r="B173" s="37"/>
      <c r="H173" s="60"/>
      <c r="I173" s="16"/>
    </row>
    <row r="174" spans="2:9" ht="15.75" customHeight="1">
      <c r="B174" s="37"/>
      <c r="H174" s="60"/>
      <c r="I174" s="16"/>
    </row>
    <row r="175" spans="2:9" ht="15.75" customHeight="1">
      <c r="B175" s="37"/>
      <c r="H175" s="60"/>
      <c r="I175" s="16"/>
    </row>
    <row r="176" spans="2:9" ht="15.75" customHeight="1">
      <c r="B176" s="37"/>
      <c r="H176" s="60"/>
      <c r="I176" s="16"/>
    </row>
    <row r="177" spans="2:9" ht="15.75" customHeight="1">
      <c r="B177" s="37"/>
      <c r="H177" s="60"/>
      <c r="I177" s="16"/>
    </row>
    <row r="178" spans="2:9" ht="15.75" customHeight="1">
      <c r="B178" s="37"/>
      <c r="H178" s="60"/>
      <c r="I178" s="16"/>
    </row>
    <row r="179" spans="2:9" ht="15.75" customHeight="1">
      <c r="B179" s="37"/>
      <c r="H179" s="60"/>
      <c r="I179" s="16"/>
    </row>
    <row r="180" spans="2:9" ht="15.75" customHeight="1">
      <c r="B180" s="37"/>
      <c r="H180" s="60"/>
      <c r="I180" s="16"/>
    </row>
    <row r="181" spans="2:9" ht="15.75" customHeight="1">
      <c r="B181" s="37"/>
      <c r="H181" s="60"/>
      <c r="I181" s="16"/>
    </row>
    <row r="182" spans="2:9" ht="15.75" customHeight="1">
      <c r="B182" s="37"/>
      <c r="H182" s="60"/>
      <c r="I182" s="16"/>
    </row>
    <row r="183" spans="2:9" ht="15.75" customHeight="1">
      <c r="B183" s="37"/>
      <c r="H183" s="60"/>
      <c r="I183" s="16"/>
    </row>
    <row r="184" spans="2:9" ht="15.75" customHeight="1">
      <c r="B184" s="37"/>
      <c r="H184" s="60"/>
      <c r="I184" s="16"/>
    </row>
    <row r="185" spans="2:9" ht="15.75" customHeight="1">
      <c r="B185" s="37"/>
      <c r="H185" s="60"/>
      <c r="I185" s="16"/>
    </row>
    <row r="186" spans="2:9" ht="15.75" customHeight="1">
      <c r="B186" s="37"/>
      <c r="H186" s="60"/>
      <c r="I186" s="16"/>
    </row>
    <row r="187" spans="2:9" ht="15.75" customHeight="1">
      <c r="B187" s="37"/>
      <c r="H187" s="60"/>
      <c r="I187" s="16"/>
    </row>
    <row r="188" spans="2:9" ht="15.75" customHeight="1">
      <c r="B188" s="37"/>
      <c r="H188" s="60"/>
      <c r="I188" s="16"/>
    </row>
    <row r="189" spans="2:9" ht="15.75" customHeight="1">
      <c r="B189" s="37"/>
      <c r="H189" s="60"/>
      <c r="I189" s="16"/>
    </row>
    <row r="190" spans="2:9" ht="15.75" customHeight="1">
      <c r="B190" s="37"/>
      <c r="H190" s="60"/>
      <c r="I190" s="16"/>
    </row>
    <row r="191" spans="2:9" ht="15.75" customHeight="1">
      <c r="B191" s="37"/>
      <c r="H191" s="60"/>
      <c r="I191" s="16"/>
    </row>
    <row r="192" spans="2:9" ht="15.75" customHeight="1">
      <c r="B192" s="37"/>
      <c r="H192" s="60"/>
      <c r="I192" s="16"/>
    </row>
    <row r="193" spans="2:9" ht="15.75" customHeight="1">
      <c r="B193" s="37"/>
      <c r="H193" s="60"/>
      <c r="I193" s="16"/>
    </row>
    <row r="194" spans="2:9" ht="15.75" customHeight="1">
      <c r="B194" s="37"/>
      <c r="H194" s="60"/>
      <c r="I194" s="16"/>
    </row>
    <row r="195" spans="2:9" ht="15.75" customHeight="1">
      <c r="B195" s="37"/>
      <c r="H195" s="60"/>
      <c r="I195" s="16"/>
    </row>
    <row r="196" spans="2:9" ht="15.75" customHeight="1">
      <c r="B196" s="37"/>
      <c r="H196" s="60"/>
      <c r="I196" s="16"/>
    </row>
    <row r="197" spans="2:9" ht="15.75" customHeight="1">
      <c r="B197" s="37"/>
      <c r="H197" s="60"/>
      <c r="I197" s="16"/>
    </row>
    <row r="198" spans="2:9" ht="15.75" customHeight="1">
      <c r="B198" s="37"/>
      <c r="H198" s="60"/>
      <c r="I198" s="16"/>
    </row>
    <row r="199" spans="2:9" ht="15.75" customHeight="1">
      <c r="B199" s="37"/>
      <c r="H199" s="60"/>
      <c r="I199" s="16"/>
    </row>
    <row r="200" spans="2:9" ht="15.75" customHeight="1">
      <c r="B200" s="37"/>
      <c r="H200" s="60"/>
      <c r="I200" s="16"/>
    </row>
    <row r="201" spans="2:9" ht="15.75" customHeight="1">
      <c r="B201" s="37"/>
      <c r="H201" s="60"/>
      <c r="I201" s="16"/>
    </row>
    <row r="202" spans="2:9" ht="15.75" customHeight="1">
      <c r="B202" s="37"/>
      <c r="H202" s="60"/>
      <c r="I202" s="16"/>
    </row>
    <row r="203" spans="2:9" ht="15.75" customHeight="1">
      <c r="B203" s="37"/>
      <c r="H203" s="60"/>
      <c r="I203" s="16"/>
    </row>
    <row r="204" spans="2:9" ht="15.75" customHeight="1">
      <c r="B204" s="37"/>
      <c r="H204" s="60"/>
      <c r="I204" s="16"/>
    </row>
    <row r="205" spans="2:9" ht="15.75" customHeight="1">
      <c r="B205" s="37"/>
      <c r="H205" s="60"/>
      <c r="I205" s="16"/>
    </row>
    <row r="206" spans="2:9" ht="15.75" customHeight="1">
      <c r="B206" s="37"/>
      <c r="H206" s="60"/>
      <c r="I206" s="16"/>
    </row>
    <row r="207" spans="2:9" ht="15.75" customHeight="1">
      <c r="B207" s="37"/>
      <c r="H207" s="60"/>
      <c r="I207" s="16"/>
    </row>
    <row r="208" spans="2:9" ht="15.75" customHeight="1">
      <c r="B208" s="37"/>
      <c r="H208" s="60"/>
      <c r="I208" s="16"/>
    </row>
    <row r="209" spans="2:9" ht="15.75" customHeight="1">
      <c r="B209" s="37"/>
      <c r="H209" s="60"/>
      <c r="I209" s="16"/>
    </row>
    <row r="210" spans="2:9" ht="15.75" customHeight="1">
      <c r="B210" s="37"/>
      <c r="H210" s="60"/>
      <c r="I210" s="16"/>
    </row>
    <row r="211" spans="2:9" ht="15.75" customHeight="1">
      <c r="B211" s="37"/>
      <c r="H211" s="60"/>
      <c r="I211" s="16"/>
    </row>
    <row r="212" spans="2:9" ht="15.75" customHeight="1">
      <c r="B212" s="37"/>
      <c r="H212" s="60"/>
      <c r="I212" s="16"/>
    </row>
    <row r="213" spans="2:9" ht="15.75" customHeight="1">
      <c r="B213" s="37"/>
      <c r="H213" s="60"/>
      <c r="I213" s="16"/>
    </row>
    <row r="214" spans="2:9" ht="15.75" customHeight="1">
      <c r="B214" s="37"/>
      <c r="H214" s="60"/>
      <c r="I214" s="16"/>
    </row>
    <row r="215" spans="2:9" ht="15.75" customHeight="1">
      <c r="B215" s="37"/>
      <c r="H215" s="60"/>
      <c r="I215" s="16"/>
    </row>
    <row r="216" spans="2:9" ht="15.75" customHeight="1">
      <c r="B216" s="37"/>
      <c r="H216" s="60"/>
      <c r="I216" s="16"/>
    </row>
    <row r="217" spans="2:9" ht="15.75" customHeight="1">
      <c r="B217" s="37"/>
      <c r="H217" s="60"/>
      <c r="I217" s="16"/>
    </row>
    <row r="218" spans="2:9" ht="15.75" customHeight="1">
      <c r="B218" s="37"/>
      <c r="H218" s="60"/>
      <c r="I218" s="16"/>
    </row>
    <row r="219" spans="2:9" ht="15.75" customHeight="1">
      <c r="B219" s="37"/>
      <c r="H219" s="60"/>
      <c r="I219" s="16"/>
    </row>
    <row r="220" spans="2:9" ht="15.75" customHeight="1">
      <c r="B220" s="37"/>
      <c r="H220" s="60"/>
      <c r="I220" s="16"/>
    </row>
    <row r="221" spans="2:9" ht="15.75" customHeight="1">
      <c r="B221" s="37"/>
      <c r="H221" s="60"/>
      <c r="I221" s="16"/>
    </row>
    <row r="222" spans="2:9" ht="15.75" customHeight="1">
      <c r="B222" s="37"/>
      <c r="H222" s="60"/>
      <c r="I222" s="16"/>
    </row>
    <row r="223" spans="2:9" ht="15.75" customHeight="1">
      <c r="B223" s="37"/>
      <c r="H223" s="60"/>
      <c r="I223" s="16"/>
    </row>
    <row r="224" spans="2:9" ht="15.75" customHeight="1">
      <c r="B224" s="37"/>
      <c r="H224" s="60"/>
      <c r="I224" s="16"/>
    </row>
    <row r="225" spans="2:9" ht="15.75" customHeight="1">
      <c r="B225" s="37"/>
      <c r="H225" s="60"/>
      <c r="I225" s="16"/>
    </row>
    <row r="226" spans="2:9" ht="15.75" customHeight="1">
      <c r="B226" s="37"/>
      <c r="H226" s="60"/>
      <c r="I226" s="16"/>
    </row>
    <row r="227" spans="2:9" ht="15.75" customHeight="1">
      <c r="B227" s="37"/>
      <c r="H227" s="60"/>
      <c r="I227" s="16"/>
    </row>
    <row r="228" spans="2:9" ht="15.75" customHeight="1">
      <c r="B228" s="37"/>
      <c r="H228" s="60"/>
      <c r="I228" s="16"/>
    </row>
    <row r="229" spans="2:9" ht="15.75" customHeight="1">
      <c r="B229" s="37"/>
      <c r="H229" s="60"/>
      <c r="I229" s="16"/>
    </row>
    <row r="230" spans="2:9" ht="15.75" customHeight="1">
      <c r="B230" s="37"/>
      <c r="H230" s="60"/>
      <c r="I230" s="16"/>
    </row>
    <row r="231" spans="2:9" ht="15.75" customHeight="1">
      <c r="B231" s="37"/>
      <c r="H231" s="60"/>
      <c r="I231" s="16"/>
    </row>
    <row r="232" spans="2:9" ht="15.75" customHeight="1">
      <c r="B232" s="37"/>
      <c r="H232" s="60"/>
      <c r="I232" s="16"/>
    </row>
    <row r="233" spans="2:9" ht="15.75" customHeight="1">
      <c r="B233" s="37"/>
      <c r="H233" s="60"/>
      <c r="I233" s="16"/>
    </row>
    <row r="234" spans="2:9" ht="15.75" customHeight="1">
      <c r="B234" s="37"/>
      <c r="H234" s="60"/>
      <c r="I234" s="16"/>
    </row>
    <row r="235" spans="2:9" ht="15.75" customHeight="1">
      <c r="B235" s="37"/>
      <c r="H235" s="60"/>
      <c r="I235" s="16"/>
    </row>
    <row r="236" spans="2:9" ht="15.75" customHeight="1">
      <c r="B236" s="37"/>
      <c r="H236" s="60"/>
      <c r="I236" s="16"/>
    </row>
    <row r="237" spans="2:9" ht="15.75" customHeight="1">
      <c r="B237" s="37"/>
      <c r="H237" s="60"/>
      <c r="I237" s="16"/>
    </row>
    <row r="238" spans="2:9" ht="15.75" customHeight="1">
      <c r="B238" s="37"/>
      <c r="H238" s="60"/>
      <c r="I238" s="16"/>
    </row>
    <row r="239" spans="2:9" ht="15.75" customHeight="1">
      <c r="B239" s="37"/>
      <c r="H239" s="60"/>
      <c r="I239" s="16"/>
    </row>
    <row r="240" spans="2:9" ht="15.75" customHeight="1">
      <c r="B240" s="37"/>
      <c r="H240" s="60"/>
      <c r="I240" s="16"/>
    </row>
    <row r="241" spans="2:28" ht="15.75" customHeight="1">
      <c r="B241" s="37"/>
      <c r="H241" s="60"/>
      <c r="I241" s="16"/>
    </row>
    <row r="242" spans="2:28" ht="15.75" customHeight="1">
      <c r="B242" s="37"/>
      <c r="H242" s="60"/>
      <c r="I242" s="16"/>
    </row>
    <row r="243" spans="2:28" ht="15.75" customHeight="1">
      <c r="B243" s="37"/>
      <c r="H243" s="60"/>
      <c r="I243" s="16"/>
    </row>
    <row r="244" spans="2:28" ht="15.75" customHeight="1">
      <c r="B244" s="37"/>
      <c r="H244" s="60"/>
      <c r="I244" s="16"/>
    </row>
    <row r="245" spans="2:28" ht="15.75" customHeight="1">
      <c r="B245" s="37"/>
      <c r="H245" s="60"/>
      <c r="I245" s="16"/>
    </row>
    <row r="246" spans="2:28" ht="15.75" customHeight="1">
      <c r="B246" s="37"/>
      <c r="H246" s="60"/>
      <c r="I246" s="16"/>
    </row>
    <row r="247" spans="2:28" ht="15.75" customHeight="1">
      <c r="B247" s="37"/>
      <c r="H247" s="60"/>
      <c r="I247" s="16"/>
      <c r="J247" s="31"/>
      <c r="K247" s="31"/>
      <c r="L247" s="31"/>
      <c r="M247" s="31"/>
      <c r="N247" s="31"/>
      <c r="O247" s="31"/>
      <c r="P247" s="80"/>
      <c r="R247" s="31"/>
      <c r="S247" s="31"/>
      <c r="T247" s="31"/>
      <c r="U247" s="31"/>
      <c r="V247" s="31"/>
      <c r="W247" s="31"/>
      <c r="X247" s="31"/>
      <c r="Z247" s="80"/>
      <c r="AB247" s="31"/>
    </row>
  </sheetData>
  <mergeCells count="19">
    <mergeCell ref="A52:B52"/>
    <mergeCell ref="H52:H53"/>
    <mergeCell ref="C52:E52"/>
    <mergeCell ref="A41:B41"/>
    <mergeCell ref="A36:B36"/>
    <mergeCell ref="C41:E41"/>
    <mergeCell ref="H41:H42"/>
    <mergeCell ref="C36:D36"/>
    <mergeCell ref="H36:H37"/>
    <mergeCell ref="A25:B25"/>
    <mergeCell ref="H25:H26"/>
    <mergeCell ref="C25:E25"/>
    <mergeCell ref="A1:B1"/>
    <mergeCell ref="A2:B2"/>
    <mergeCell ref="A14:B14"/>
    <mergeCell ref="H2:H3"/>
    <mergeCell ref="H14:H15"/>
    <mergeCell ref="C2:E2"/>
    <mergeCell ref="C14:E14"/>
  </mergeCells>
  <conditionalFormatting sqref="A48">
    <cfRule type="expression" dxfId="529" priority="392">
      <formula>Q:Q&gt;=80</formula>
    </cfRule>
  </conditionalFormatting>
  <conditionalFormatting sqref="A8">
    <cfRule type="expression" dxfId="528" priority="377">
      <formula>R:R&gt;=80</formula>
    </cfRule>
  </conditionalFormatting>
  <conditionalFormatting sqref="C54 C11 C5:C8 C30:C34 L40 C49:C50 C47 L44 C44 C16:C21 C56:C60">
    <cfRule type="cellIs" dxfId="527" priority="306" operator="equal">
      <formula>4</formula>
    </cfRule>
    <cfRule type="cellIs" dxfId="526" priority="307" operator="equal">
      <formula>3</formula>
    </cfRule>
    <cfRule type="cellIs" dxfId="525" priority="308" operator="equal">
      <formula>2</formula>
    </cfRule>
    <cfRule type="cellIs" dxfId="524" priority="309" operator="equal">
      <formula>1</formula>
    </cfRule>
  </conditionalFormatting>
  <conditionalFormatting sqref="C27">
    <cfRule type="cellIs" dxfId="523" priority="284" operator="equal">
      <formula>4</formula>
    </cfRule>
    <cfRule type="cellIs" dxfId="522" priority="285" operator="equal">
      <formula>3</formula>
    </cfRule>
    <cfRule type="cellIs" dxfId="521" priority="286" operator="equal">
      <formula>2</formula>
    </cfRule>
    <cfRule type="cellIs" dxfId="520" priority="287" operator="equal">
      <formula>1</formula>
    </cfRule>
  </conditionalFormatting>
  <conditionalFormatting sqref="C38">
    <cfRule type="cellIs" dxfId="519" priority="273" operator="equal">
      <formula>4</formula>
    </cfRule>
    <cfRule type="cellIs" dxfId="518" priority="274" operator="equal">
      <formula>3</formula>
    </cfRule>
    <cfRule type="cellIs" dxfId="517" priority="275" operator="equal">
      <formula>2</formula>
    </cfRule>
    <cfRule type="cellIs" dxfId="516" priority="276" operator="equal">
      <formula>1</formula>
    </cfRule>
  </conditionalFormatting>
  <conditionalFormatting sqref="D54 D11 D5:D8 D30:D33 M40 D49:D50 D47 M44 D44 D16:D21 D56:D60">
    <cfRule type="containsText" dxfId="515" priority="299" operator="containsText" text="G">
      <formula>NOT(ISERROR(SEARCH("G",D5)))</formula>
    </cfRule>
    <cfRule type="containsText" dxfId="514" priority="300" operator="containsText" text="F">
      <formula>NOT(ISERROR(SEARCH("F",D5)))</formula>
    </cfRule>
    <cfRule type="containsText" dxfId="513" priority="301" operator="containsText" text="E">
      <formula>NOT(ISERROR(SEARCH("E",D5)))</formula>
    </cfRule>
    <cfRule type="containsText" dxfId="512" priority="302" operator="containsText" text="D">
      <formula>NOT(ISERROR(SEARCH("D",D5)))</formula>
    </cfRule>
    <cfRule type="containsText" dxfId="511" priority="303" operator="containsText" text="C">
      <formula>NOT(ISERROR(SEARCH("C",D5)))</formula>
    </cfRule>
    <cfRule type="containsText" dxfId="510" priority="304" operator="containsText" text="B">
      <formula>NOT(ISERROR(SEARCH("B",D5)))</formula>
    </cfRule>
    <cfRule type="containsText" dxfId="509" priority="305" operator="containsText" text="A">
      <formula>NOT(ISERROR(SEARCH("A",D5)))</formula>
    </cfRule>
  </conditionalFormatting>
  <conditionalFormatting sqref="D27">
    <cfRule type="containsText" dxfId="508" priority="342" operator="containsText" text="G">
      <formula>NOT(ISERROR(SEARCH("G",D27)))</formula>
    </cfRule>
    <cfRule type="containsText" dxfId="507" priority="343" operator="containsText" text="F">
      <formula>NOT(ISERROR(SEARCH("F",D27)))</formula>
    </cfRule>
    <cfRule type="containsText" dxfId="506" priority="344" operator="containsText" text="E">
      <formula>NOT(ISERROR(SEARCH("E",D27)))</formula>
    </cfRule>
    <cfRule type="containsText" dxfId="505" priority="345" operator="containsText" text="D">
      <formula>NOT(ISERROR(SEARCH("D",D27)))</formula>
    </cfRule>
    <cfRule type="containsText" dxfId="504" priority="346" operator="containsText" text="C">
      <formula>NOT(ISERROR(SEARCH("C",D27)))</formula>
    </cfRule>
    <cfRule type="containsText" dxfId="503" priority="347" operator="containsText" text="B">
      <formula>NOT(ISERROR(SEARCH("B",D27)))</formula>
    </cfRule>
    <cfRule type="containsText" dxfId="502" priority="348" operator="containsText" text="A">
      <formula>NOT(ISERROR(SEARCH("A",D27)))</formula>
    </cfRule>
  </conditionalFormatting>
  <conditionalFormatting sqref="D34">
    <cfRule type="containsText" dxfId="501" priority="277" operator="containsText" text="G">
      <formula>NOT(ISERROR(SEARCH("G",D34)))</formula>
    </cfRule>
    <cfRule type="containsText" dxfId="500" priority="278" operator="containsText" text="F">
      <formula>NOT(ISERROR(SEARCH("F",D34)))</formula>
    </cfRule>
    <cfRule type="containsText" dxfId="499" priority="279" operator="containsText" text="E">
      <formula>NOT(ISERROR(SEARCH("E",D34)))</formula>
    </cfRule>
    <cfRule type="containsText" dxfId="498" priority="280" operator="containsText" text="D">
      <formula>NOT(ISERROR(SEARCH("D",D34)))</formula>
    </cfRule>
    <cfRule type="containsText" dxfId="497" priority="281" operator="containsText" text="C">
      <formula>NOT(ISERROR(SEARCH("C",D34)))</formula>
    </cfRule>
    <cfRule type="containsText" dxfId="496" priority="282" operator="containsText" text="B">
      <formula>NOT(ISERROR(SEARCH("B",D34)))</formula>
    </cfRule>
    <cfRule type="containsText" dxfId="495" priority="283" operator="containsText" text="A">
      <formula>NOT(ISERROR(SEARCH("A",D34)))</formula>
    </cfRule>
  </conditionalFormatting>
  <conditionalFormatting sqref="H1">
    <cfRule type="cellIs" dxfId="494" priority="313" stopIfTrue="1" operator="between">
      <formula>0.81</formula>
      <formula>1</formula>
    </cfRule>
    <cfRule type="cellIs" dxfId="493" priority="314" stopIfTrue="1" operator="between">
      <formula>0.7</formula>
      <formula>0.8</formula>
    </cfRule>
    <cfRule type="cellIs" dxfId="492" priority="315" stopIfTrue="1" operator="between">
      <formula>0.01</formula>
      <formula>0.69</formula>
    </cfRule>
  </conditionalFormatting>
  <conditionalFormatting sqref="H1:H63">
    <cfRule type="cellIs" dxfId="491" priority="310" operator="between">
      <formula>0.7</formula>
      <formula>0.8</formula>
    </cfRule>
    <cfRule type="cellIs" dxfId="490" priority="311" operator="between">
      <formula>0.8</formula>
      <formula>1</formula>
    </cfRule>
    <cfRule type="cellIs" dxfId="489" priority="312" operator="between">
      <formula>69%</formula>
      <formula>0.01</formula>
    </cfRule>
  </conditionalFormatting>
  <conditionalFormatting sqref="I1:I46 I48:I63">
    <cfRule type="cellIs" dxfId="488" priority="381" stopIfTrue="1" operator="between">
      <formula>0.81</formula>
      <formula>1</formula>
    </cfRule>
    <cfRule type="cellIs" dxfId="487" priority="382" stopIfTrue="1" operator="between">
      <formula>0.7</formula>
      <formula>0.8</formula>
    </cfRule>
    <cfRule type="cellIs" dxfId="486" priority="383" stopIfTrue="1" operator="between">
      <formula>0.01</formula>
      <formula>0.69</formula>
    </cfRule>
  </conditionalFormatting>
  <conditionalFormatting sqref="C48">
    <cfRule type="cellIs" dxfId="485" priority="235" operator="equal">
      <formula>4</formula>
    </cfRule>
    <cfRule type="cellIs" dxfId="484" priority="236" operator="equal">
      <formula>3</formula>
    </cfRule>
    <cfRule type="cellIs" dxfId="483" priority="237" operator="equal">
      <formula>2</formula>
    </cfRule>
    <cfRule type="cellIs" dxfId="482" priority="238" operator="equal">
      <formula>1</formula>
    </cfRule>
  </conditionalFormatting>
  <conditionalFormatting sqref="D48">
    <cfRule type="containsText" dxfId="481" priority="228" operator="containsText" text="G">
      <formula>NOT(ISERROR(SEARCH("G",D48)))</formula>
    </cfRule>
    <cfRule type="containsText" dxfId="480" priority="229" operator="containsText" text="F">
      <formula>NOT(ISERROR(SEARCH("F",D48)))</formula>
    </cfRule>
    <cfRule type="containsText" dxfId="479" priority="230" operator="containsText" text="E">
      <formula>NOT(ISERROR(SEARCH("E",D48)))</formula>
    </cfRule>
    <cfRule type="containsText" dxfId="478" priority="231" operator="containsText" text="D">
      <formula>NOT(ISERROR(SEARCH("D",D48)))</formula>
    </cfRule>
    <cfRule type="containsText" dxfId="477" priority="232" operator="containsText" text="C">
      <formula>NOT(ISERROR(SEARCH("C",D48)))</formula>
    </cfRule>
    <cfRule type="containsText" dxfId="476" priority="233" operator="containsText" text="B">
      <formula>NOT(ISERROR(SEARCH("B",D48)))</formula>
    </cfRule>
    <cfRule type="containsText" dxfId="475" priority="234" operator="containsText" text="A">
      <formula>NOT(ISERROR(SEARCH("A",D48)))</formula>
    </cfRule>
  </conditionalFormatting>
  <conditionalFormatting sqref="C4">
    <cfRule type="cellIs" dxfId="474" priority="213" operator="equal">
      <formula>4</formula>
    </cfRule>
    <cfRule type="cellIs" dxfId="473" priority="214" operator="equal">
      <formula>3</formula>
    </cfRule>
    <cfRule type="cellIs" dxfId="472" priority="215" operator="equal">
      <formula>2</formula>
    </cfRule>
    <cfRule type="cellIs" dxfId="471" priority="216" operator="equal">
      <formula>1</formula>
    </cfRule>
  </conditionalFormatting>
  <conditionalFormatting sqref="D4">
    <cfRule type="containsText" dxfId="470" priority="206" operator="containsText" text="G">
      <formula>NOT(ISERROR(SEARCH("G",D4)))</formula>
    </cfRule>
    <cfRule type="containsText" dxfId="469" priority="207" operator="containsText" text="F">
      <formula>NOT(ISERROR(SEARCH("F",D4)))</formula>
    </cfRule>
    <cfRule type="containsText" dxfId="468" priority="208" operator="containsText" text="E">
      <formula>NOT(ISERROR(SEARCH("E",D4)))</formula>
    </cfRule>
    <cfRule type="containsText" dxfId="467" priority="209" operator="containsText" text="D">
      <formula>NOT(ISERROR(SEARCH("D",D4)))</formula>
    </cfRule>
    <cfRule type="containsText" dxfId="466" priority="210" operator="containsText" text="C">
      <formula>NOT(ISERROR(SEARCH("C",D4)))</formula>
    </cfRule>
    <cfRule type="containsText" dxfId="465" priority="211" operator="containsText" text="B">
      <formula>NOT(ISERROR(SEARCH("B",D4)))</formula>
    </cfRule>
    <cfRule type="containsText" dxfId="464" priority="212" operator="containsText" text="A">
      <formula>NOT(ISERROR(SEARCH("A",D4)))</formula>
    </cfRule>
  </conditionalFormatting>
  <conditionalFormatting sqref="C28">
    <cfRule type="cellIs" dxfId="463" priority="190" operator="equal">
      <formula>4</formula>
    </cfRule>
    <cfRule type="cellIs" dxfId="462" priority="191" operator="equal">
      <formula>3</formula>
    </cfRule>
    <cfRule type="cellIs" dxfId="461" priority="192" operator="equal">
      <formula>2</formula>
    </cfRule>
    <cfRule type="cellIs" dxfId="460" priority="193" operator="equal">
      <formula>1</formula>
    </cfRule>
  </conditionalFormatting>
  <conditionalFormatting sqref="D28">
    <cfRule type="containsText" dxfId="459" priority="183" operator="containsText" text="G">
      <formula>NOT(ISERROR(SEARCH("G",D28)))</formula>
    </cfRule>
    <cfRule type="containsText" dxfId="458" priority="184" operator="containsText" text="F">
      <formula>NOT(ISERROR(SEARCH("F",D28)))</formula>
    </cfRule>
    <cfRule type="containsText" dxfId="457" priority="185" operator="containsText" text="E">
      <formula>NOT(ISERROR(SEARCH("E",D28)))</formula>
    </cfRule>
    <cfRule type="containsText" dxfId="456" priority="186" operator="containsText" text="D">
      <formula>NOT(ISERROR(SEARCH("D",D28)))</formula>
    </cfRule>
    <cfRule type="containsText" dxfId="455" priority="187" operator="containsText" text="C">
      <formula>NOT(ISERROR(SEARCH("C",D28)))</formula>
    </cfRule>
    <cfRule type="containsText" dxfId="454" priority="188" operator="containsText" text="B">
      <formula>NOT(ISERROR(SEARCH("B",D28)))</formula>
    </cfRule>
    <cfRule type="containsText" dxfId="453" priority="189" operator="containsText" text="A">
      <formula>NOT(ISERROR(SEARCH("A",D28)))</formula>
    </cfRule>
  </conditionalFormatting>
  <conditionalFormatting sqref="C45">
    <cfRule type="cellIs" dxfId="452" priority="172" operator="equal">
      <formula>4</formula>
    </cfRule>
    <cfRule type="cellIs" dxfId="451" priority="173" operator="equal">
      <formula>3</formula>
    </cfRule>
    <cfRule type="cellIs" dxfId="450" priority="174" operator="equal">
      <formula>2</formula>
    </cfRule>
    <cfRule type="cellIs" dxfId="449" priority="175" operator="equal">
      <formula>1</formula>
    </cfRule>
  </conditionalFormatting>
  <conditionalFormatting sqref="D45">
    <cfRule type="containsText" dxfId="448" priority="176" operator="containsText" text="G">
      <formula>NOT(ISERROR(SEARCH("G",D45)))</formula>
    </cfRule>
    <cfRule type="containsText" dxfId="447" priority="177" operator="containsText" text="F">
      <formula>NOT(ISERROR(SEARCH("F",D45)))</formula>
    </cfRule>
    <cfRule type="containsText" dxfId="446" priority="178" operator="containsText" text="E">
      <formula>NOT(ISERROR(SEARCH("E",D45)))</formula>
    </cfRule>
    <cfRule type="containsText" dxfId="445" priority="179" operator="containsText" text="D">
      <formula>NOT(ISERROR(SEARCH("D",D45)))</formula>
    </cfRule>
    <cfRule type="containsText" dxfId="444" priority="180" operator="containsText" text="C">
      <formula>NOT(ISERROR(SEARCH("C",D45)))</formula>
    </cfRule>
    <cfRule type="containsText" dxfId="443" priority="181" operator="containsText" text="B">
      <formula>NOT(ISERROR(SEARCH("B",D45)))</formula>
    </cfRule>
    <cfRule type="containsText" dxfId="442" priority="182" operator="containsText" text="A">
      <formula>NOT(ISERROR(SEARCH("A",D45)))</formula>
    </cfRule>
  </conditionalFormatting>
  <conditionalFormatting sqref="C55">
    <cfRule type="cellIs" dxfId="441" priority="161" operator="equal">
      <formula>4</formula>
    </cfRule>
    <cfRule type="cellIs" dxfId="440" priority="162" operator="equal">
      <formula>3</formula>
    </cfRule>
    <cfRule type="cellIs" dxfId="439" priority="163" operator="equal">
      <formula>2</formula>
    </cfRule>
    <cfRule type="cellIs" dxfId="438" priority="164" operator="equal">
      <formula>1</formula>
    </cfRule>
  </conditionalFormatting>
  <conditionalFormatting sqref="D55">
    <cfRule type="containsText" dxfId="437" priority="165" operator="containsText" text="G">
      <formula>NOT(ISERROR(SEARCH("G",D55)))</formula>
    </cfRule>
    <cfRule type="containsText" dxfId="436" priority="166" operator="containsText" text="F">
      <formula>NOT(ISERROR(SEARCH("F",D55)))</formula>
    </cfRule>
    <cfRule type="containsText" dxfId="435" priority="167" operator="containsText" text="E">
      <formula>NOT(ISERROR(SEARCH("E",D55)))</formula>
    </cfRule>
    <cfRule type="containsText" dxfId="434" priority="168" operator="containsText" text="D">
      <formula>NOT(ISERROR(SEARCH("D",D55)))</formula>
    </cfRule>
    <cfRule type="containsText" dxfId="433" priority="169" operator="containsText" text="C">
      <formula>NOT(ISERROR(SEARCH("C",D55)))</formula>
    </cfRule>
    <cfRule type="containsText" dxfId="432" priority="170" operator="containsText" text="B">
      <formula>NOT(ISERROR(SEARCH("B",D55)))</formula>
    </cfRule>
    <cfRule type="containsText" dxfId="431" priority="171" operator="containsText" text="A">
      <formula>NOT(ISERROR(SEARCH("A",D55)))</formula>
    </cfRule>
  </conditionalFormatting>
  <conditionalFormatting sqref="C61">
    <cfRule type="cellIs" dxfId="430" priority="157" operator="equal">
      <formula>4</formula>
    </cfRule>
    <cfRule type="cellIs" dxfId="429" priority="158" operator="equal">
      <formula>3</formula>
    </cfRule>
    <cfRule type="cellIs" dxfId="428" priority="159" operator="equal">
      <formula>2</formula>
    </cfRule>
    <cfRule type="cellIs" dxfId="427" priority="160" operator="equal">
      <formula>1</formula>
    </cfRule>
  </conditionalFormatting>
  <conditionalFormatting sqref="D61">
    <cfRule type="containsText" dxfId="426" priority="150" operator="containsText" text="G">
      <formula>NOT(ISERROR(SEARCH("G",D61)))</formula>
    </cfRule>
    <cfRule type="containsText" dxfId="425" priority="151" operator="containsText" text="F">
      <formula>NOT(ISERROR(SEARCH("F",D61)))</formula>
    </cfRule>
    <cfRule type="containsText" dxfId="424" priority="152" operator="containsText" text="E">
      <formula>NOT(ISERROR(SEARCH("E",D61)))</formula>
    </cfRule>
    <cfRule type="containsText" dxfId="423" priority="153" operator="containsText" text="D">
      <formula>NOT(ISERROR(SEARCH("D",D61)))</formula>
    </cfRule>
    <cfRule type="containsText" dxfId="422" priority="154" operator="containsText" text="C">
      <formula>NOT(ISERROR(SEARCH("C",D61)))</formula>
    </cfRule>
    <cfRule type="containsText" dxfId="421" priority="155" operator="containsText" text="B">
      <formula>NOT(ISERROR(SEARCH("B",D61)))</formula>
    </cfRule>
    <cfRule type="containsText" dxfId="420" priority="156" operator="containsText" text="A">
      <formula>NOT(ISERROR(SEARCH("A",D61)))</formula>
    </cfRule>
  </conditionalFormatting>
  <conditionalFormatting sqref="C39">
    <cfRule type="cellIs" dxfId="419" priority="135" operator="equal">
      <formula>4</formula>
    </cfRule>
    <cfRule type="cellIs" dxfId="418" priority="136" operator="equal">
      <formula>3</formula>
    </cfRule>
    <cfRule type="cellIs" dxfId="417" priority="137" operator="equal">
      <formula>2</formula>
    </cfRule>
    <cfRule type="cellIs" dxfId="416" priority="138" operator="equal">
      <formula>1</formula>
    </cfRule>
  </conditionalFormatting>
  <conditionalFormatting sqref="C9">
    <cfRule type="cellIs" dxfId="415" priority="131" operator="equal">
      <formula>4</formula>
    </cfRule>
    <cfRule type="cellIs" dxfId="414" priority="132" operator="equal">
      <formula>3</formula>
    </cfRule>
    <cfRule type="cellIs" dxfId="413" priority="133" operator="equal">
      <formula>2</formula>
    </cfRule>
    <cfRule type="cellIs" dxfId="412" priority="134" operator="equal">
      <formula>1</formula>
    </cfRule>
  </conditionalFormatting>
  <conditionalFormatting sqref="D9">
    <cfRule type="containsText" dxfId="411" priority="124" operator="containsText" text="G">
      <formula>NOT(ISERROR(SEARCH("G",D9)))</formula>
    </cfRule>
    <cfRule type="containsText" dxfId="410" priority="125" operator="containsText" text="F">
      <formula>NOT(ISERROR(SEARCH("F",D9)))</formula>
    </cfRule>
    <cfRule type="containsText" dxfId="409" priority="126" operator="containsText" text="E">
      <formula>NOT(ISERROR(SEARCH("E",D9)))</formula>
    </cfRule>
    <cfRule type="containsText" dxfId="408" priority="127" operator="containsText" text="D">
      <formula>NOT(ISERROR(SEARCH("D",D9)))</formula>
    </cfRule>
    <cfRule type="containsText" dxfId="407" priority="128" operator="containsText" text="C">
      <formula>NOT(ISERROR(SEARCH("C",D9)))</formula>
    </cfRule>
    <cfRule type="containsText" dxfId="406" priority="129" operator="containsText" text="B">
      <formula>NOT(ISERROR(SEARCH("B",D9)))</formula>
    </cfRule>
    <cfRule type="containsText" dxfId="405" priority="130" operator="containsText" text="A">
      <formula>NOT(ISERROR(SEARCH("A",D9)))</formula>
    </cfRule>
  </conditionalFormatting>
  <conditionalFormatting sqref="C10">
    <cfRule type="cellIs" dxfId="404" priority="91" operator="equal">
      <formula>4</formula>
    </cfRule>
    <cfRule type="cellIs" dxfId="403" priority="92" operator="equal">
      <formula>3</formula>
    </cfRule>
    <cfRule type="cellIs" dxfId="402" priority="93" operator="equal">
      <formula>2</formula>
    </cfRule>
    <cfRule type="cellIs" dxfId="401" priority="94" operator="equal">
      <formula>1</formula>
    </cfRule>
  </conditionalFormatting>
  <conditionalFormatting sqref="D10">
    <cfRule type="containsText" dxfId="400" priority="95" operator="containsText" text="G">
      <formula>NOT(ISERROR(SEARCH("G",D10)))</formula>
    </cfRule>
    <cfRule type="containsText" dxfId="399" priority="96" operator="containsText" text="F">
      <formula>NOT(ISERROR(SEARCH("F",D10)))</formula>
    </cfRule>
    <cfRule type="containsText" dxfId="398" priority="97" operator="containsText" text="E">
      <formula>NOT(ISERROR(SEARCH("E",D10)))</formula>
    </cfRule>
    <cfRule type="containsText" dxfId="397" priority="98" operator="containsText" text="D">
      <formula>NOT(ISERROR(SEARCH("D",D10)))</formula>
    </cfRule>
    <cfRule type="containsText" dxfId="396" priority="99" operator="containsText" text="C">
      <formula>NOT(ISERROR(SEARCH("C",D10)))</formula>
    </cfRule>
    <cfRule type="containsText" dxfId="395" priority="100" operator="containsText" text="B">
      <formula>NOT(ISERROR(SEARCH("B",D10)))</formula>
    </cfRule>
    <cfRule type="containsText" dxfId="394" priority="101" operator="containsText" text="A">
      <formula>NOT(ISERROR(SEARCH("A",D10)))</formula>
    </cfRule>
  </conditionalFormatting>
  <conditionalFormatting sqref="C29">
    <cfRule type="cellIs" dxfId="393" priority="87" operator="equal">
      <formula>4</formula>
    </cfRule>
    <cfRule type="cellIs" dxfId="392" priority="88" operator="equal">
      <formula>3</formula>
    </cfRule>
    <cfRule type="cellIs" dxfId="391" priority="89" operator="equal">
      <formula>2</formula>
    </cfRule>
    <cfRule type="cellIs" dxfId="390" priority="90" operator="equal">
      <formula>1</formula>
    </cfRule>
  </conditionalFormatting>
  <conditionalFormatting sqref="D29">
    <cfRule type="containsText" dxfId="389" priority="80" operator="containsText" text="G">
      <formula>NOT(ISERROR(SEARCH("G",D29)))</formula>
    </cfRule>
    <cfRule type="containsText" dxfId="388" priority="81" operator="containsText" text="F">
      <formula>NOT(ISERROR(SEARCH("F",D29)))</formula>
    </cfRule>
    <cfRule type="containsText" dxfId="387" priority="82" operator="containsText" text="E">
      <formula>NOT(ISERROR(SEARCH("E",D29)))</formula>
    </cfRule>
    <cfRule type="containsText" dxfId="386" priority="83" operator="containsText" text="D">
      <formula>NOT(ISERROR(SEARCH("D",D29)))</formula>
    </cfRule>
    <cfRule type="containsText" dxfId="385" priority="84" operator="containsText" text="C">
      <formula>NOT(ISERROR(SEARCH("C",D29)))</formula>
    </cfRule>
    <cfRule type="containsText" dxfId="384" priority="85" operator="containsText" text="B">
      <formula>NOT(ISERROR(SEARCH("B",D29)))</formula>
    </cfRule>
    <cfRule type="containsText" dxfId="383" priority="86" operator="containsText" text="A">
      <formula>NOT(ISERROR(SEARCH("A",D29)))</formula>
    </cfRule>
  </conditionalFormatting>
  <conditionalFormatting sqref="C46">
    <cfRule type="cellIs" dxfId="382" priority="65" operator="equal">
      <formula>4</formula>
    </cfRule>
    <cfRule type="cellIs" dxfId="381" priority="66" operator="equal">
      <formula>3</formula>
    </cfRule>
    <cfRule type="cellIs" dxfId="380" priority="67" operator="equal">
      <formula>2</formula>
    </cfRule>
    <cfRule type="cellIs" dxfId="379" priority="68" operator="equal">
      <formula>1</formula>
    </cfRule>
  </conditionalFormatting>
  <conditionalFormatting sqref="D46">
    <cfRule type="containsText" dxfId="378" priority="58" operator="containsText" text="G">
      <formula>NOT(ISERROR(SEARCH("G",D46)))</formula>
    </cfRule>
    <cfRule type="containsText" dxfId="377" priority="59" operator="containsText" text="F">
      <formula>NOT(ISERROR(SEARCH("F",D46)))</formula>
    </cfRule>
    <cfRule type="containsText" dxfId="376" priority="60" operator="containsText" text="E">
      <formula>NOT(ISERROR(SEARCH("E",D46)))</formula>
    </cfRule>
    <cfRule type="containsText" dxfId="375" priority="61" operator="containsText" text="D">
      <formula>NOT(ISERROR(SEARCH("D",D46)))</formula>
    </cfRule>
    <cfRule type="containsText" dxfId="374" priority="62" operator="containsText" text="C">
      <formula>NOT(ISERROR(SEARCH("C",D46)))</formula>
    </cfRule>
    <cfRule type="containsText" dxfId="373" priority="63" operator="containsText" text="B">
      <formula>NOT(ISERROR(SEARCH("B",D46)))</formula>
    </cfRule>
    <cfRule type="containsText" dxfId="372" priority="64" operator="containsText" text="A">
      <formula>NOT(ISERROR(SEARCH("A",D46)))</formula>
    </cfRule>
  </conditionalFormatting>
  <conditionalFormatting sqref="C43">
    <cfRule type="cellIs" dxfId="371" priority="1" operator="equal">
      <formula>4</formula>
    </cfRule>
    <cfRule type="cellIs" dxfId="370" priority="2" operator="equal">
      <formula>3</formula>
    </cfRule>
    <cfRule type="cellIs" dxfId="369" priority="3" operator="equal">
      <formula>2</formula>
    </cfRule>
    <cfRule type="cellIs" dxfId="368" priority="4" operator="equal">
      <formula>1</formula>
    </cfRule>
  </conditionalFormatting>
  <conditionalFormatting sqref="D43">
    <cfRule type="containsText" dxfId="367" priority="5" operator="containsText" text="G">
      <formula>NOT(ISERROR(SEARCH("G",D43)))</formula>
    </cfRule>
    <cfRule type="containsText" dxfId="366" priority="6" operator="containsText" text="F">
      <formula>NOT(ISERROR(SEARCH("F",D43)))</formula>
    </cfRule>
    <cfRule type="containsText" dxfId="365" priority="7" operator="containsText" text="E">
      <formula>NOT(ISERROR(SEARCH("E",D43)))</formula>
    </cfRule>
    <cfRule type="containsText" dxfId="364" priority="8" operator="containsText" text="D">
      <formula>NOT(ISERROR(SEARCH("D",D43)))</formula>
    </cfRule>
    <cfRule type="containsText" dxfId="363" priority="9" operator="containsText" text="C">
      <formula>NOT(ISERROR(SEARCH("C",D43)))</formula>
    </cfRule>
    <cfRule type="containsText" dxfId="362" priority="10" operator="containsText" text="B">
      <formula>NOT(ISERROR(SEARCH("B",D43)))</formula>
    </cfRule>
    <cfRule type="containsText" dxfId="361" priority="11" operator="containsText" text="A">
      <formula>NOT(ISERROR(SEARCH("A",D43)))</formula>
    </cfRule>
  </conditionalFormatting>
  <conditionalFormatting sqref="A7 A1:A3 A35:A37 A40:A42 A50:A54 A62:A63 A11:A16 A24:A28 A18:A21 A30:A33 A47 A56:A59">
    <cfRule type="expression" dxfId="360" priority="427">
      <formula>H:H&gt;=80</formula>
    </cfRule>
  </conditionalFormatting>
  <printOptions horizontalCentered="1" verticalCentered="1"/>
  <pageMargins left="0.25" right="0.25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01"/>
  <sheetViews>
    <sheetView topLeftCell="A36" workbookViewId="0">
      <selection activeCell="I49" sqref="I49"/>
    </sheetView>
  </sheetViews>
  <sheetFormatPr defaultColWidth="14.42578125" defaultRowHeight="15" customHeight="1"/>
  <cols>
    <col min="1" max="1" width="26.7109375" bestFit="1" customWidth="1"/>
    <col min="2" max="2" width="10" customWidth="1"/>
    <col min="3" max="3" width="10.140625" customWidth="1"/>
    <col min="4" max="4" width="9.28515625" customWidth="1"/>
    <col min="5" max="5" width="9" customWidth="1"/>
    <col min="6" max="6" width="10.140625" customWidth="1"/>
    <col min="7" max="7" width="12.85546875" customWidth="1"/>
    <col min="8" max="8" width="10.28515625" hidden="1" customWidth="1"/>
    <col min="9" max="9" width="11.42578125" customWidth="1"/>
    <col min="10" max="10" width="15.7109375" bestFit="1" customWidth="1"/>
  </cols>
  <sheetData>
    <row r="1" spans="1:9" ht="35.25">
      <c r="A1" s="269" t="s">
        <v>181</v>
      </c>
      <c r="B1" s="270"/>
      <c r="C1" s="71" t="s">
        <v>168</v>
      </c>
      <c r="D1" s="9" t="s">
        <v>35</v>
      </c>
      <c r="E1" s="10">
        <f>G3+G14+G25+F39+G42+G53</f>
        <v>82.3</v>
      </c>
      <c r="F1" s="11" t="s">
        <v>36</v>
      </c>
      <c r="G1" s="50">
        <f>G5+G16+G27+G39+G44+G55</f>
        <v>73.5</v>
      </c>
      <c r="H1" s="182">
        <f>(H4+H5+H6+H7+H9+H8+H10+H11+H16+H17+H18+H19+H20+H21+H22+H15+H27+H28+H29+H30+H31+H32+H33+H26+H39+H38+H44+H45+H46+H47+H48+H49+H50+H43+H55+H56+H57+H58+H59+H60+H61+H54)/42</f>
        <v>0.7857142857142857</v>
      </c>
      <c r="I1" s="13"/>
    </row>
    <row r="2" spans="1:9" ht="20.25">
      <c r="A2" s="271" t="s">
        <v>2</v>
      </c>
      <c r="B2" s="272"/>
      <c r="C2" s="273" t="str">
        <f>A1</f>
        <v>RICHIE</v>
      </c>
      <c r="D2" s="272"/>
      <c r="E2" s="270"/>
      <c r="F2" s="14" t="s">
        <v>37</v>
      </c>
      <c r="G2" s="15" t="s">
        <v>38</v>
      </c>
      <c r="H2" s="286" t="s">
        <v>39</v>
      </c>
      <c r="I2" s="16"/>
    </row>
    <row r="3" spans="1:9" ht="26.25">
      <c r="A3" s="109" t="s">
        <v>0</v>
      </c>
      <c r="B3" s="110" t="s">
        <v>40</v>
      </c>
      <c r="C3" s="111" t="s">
        <v>41</v>
      </c>
      <c r="D3" s="112" t="s">
        <v>42</v>
      </c>
      <c r="E3" s="113" t="s">
        <v>43</v>
      </c>
      <c r="F3" s="17">
        <f>SUM(E4:E12)</f>
        <v>2.4000000000000004</v>
      </c>
      <c r="G3" s="18">
        <f>10+F3+F5+F11</f>
        <v>14.4</v>
      </c>
      <c r="H3" s="275"/>
      <c r="I3" s="16"/>
    </row>
    <row r="4" spans="1:9" ht="15.75">
      <c r="A4" s="23" t="s">
        <v>172</v>
      </c>
      <c r="B4" s="29">
        <v>16</v>
      </c>
      <c r="C4" s="35">
        <v>3</v>
      </c>
      <c r="D4" s="171" t="s">
        <v>119</v>
      </c>
      <c r="E4" s="172">
        <f>IF(D4="F",0.6,IF(D4="C",0.3,IF(D4="D",0.4,IF(D4="E",0.5,IF(D4="A",0.1,IF(D4="G",0.7,IF(D4="H",0.8,IF(D4="B",0.2,""))))))))</f>
        <v>0.4</v>
      </c>
      <c r="F4" s="20" t="s">
        <v>48</v>
      </c>
      <c r="G4" s="21" t="s">
        <v>49</v>
      </c>
      <c r="H4" s="22">
        <v>0.85</v>
      </c>
      <c r="I4" s="16"/>
    </row>
    <row r="5" spans="1:9" ht="15.75">
      <c r="A5" s="91" t="s">
        <v>169</v>
      </c>
      <c r="B5" s="93">
        <v>16</v>
      </c>
      <c r="C5" s="30">
        <v>2</v>
      </c>
      <c r="D5" s="140" t="s">
        <v>119</v>
      </c>
      <c r="E5" s="172">
        <f>IF(D5="F",0.6,IF(D5="C",0.3,IF(D5="D",0.4,IF(D5="E",0.5,IF(D5="A",0.1,IF(D5="G",0.7,IF(D5="H",0.8,IF(D5="B",0.2,""))))))))</f>
        <v>0.4</v>
      </c>
      <c r="F5" s="26">
        <v>2</v>
      </c>
      <c r="G5" s="27">
        <f>G3-1.5</f>
        <v>12.9</v>
      </c>
      <c r="H5" s="22">
        <v>0.8</v>
      </c>
      <c r="I5" s="16"/>
    </row>
    <row r="6" spans="1:9" ht="15.75">
      <c r="A6" s="23" t="s">
        <v>151</v>
      </c>
      <c r="B6" s="29">
        <v>9</v>
      </c>
      <c r="C6" s="25">
        <v>4</v>
      </c>
      <c r="D6" s="140" t="s">
        <v>100</v>
      </c>
      <c r="E6" s="172">
        <f>IF(D6="F",0.6,IF(D6="C",0.3,IF(D6="D",0.4,IF(D6="E",0.5,IF(D6="A",0.1,IF(D6="G",0.7,IF(D6="H",0.8,IF(D6="B",0.2,""))))))))</f>
        <v>0.3</v>
      </c>
      <c r="F6" s="31"/>
      <c r="G6" s="31"/>
      <c r="H6" s="22">
        <v>0.9</v>
      </c>
      <c r="I6" s="16"/>
    </row>
    <row r="7" spans="1:9" ht="15.75">
      <c r="A7" s="23" t="s">
        <v>182</v>
      </c>
      <c r="B7" s="29">
        <v>105</v>
      </c>
      <c r="C7" s="34">
        <v>1</v>
      </c>
      <c r="D7" s="107" t="s">
        <v>100</v>
      </c>
      <c r="E7" s="172">
        <f>IF(D7="F",0.6,IF(D7="C",0.3,IF(D7="D",0.4,IF(D7="E",0.5,IF(D7="A",0.1,IF(D7="G",0.7,IF(D7="H",0.8,IF(D7="B",0.2,""))))))))</f>
        <v>0.3</v>
      </c>
      <c r="F7" s="31"/>
      <c r="G7" s="31"/>
      <c r="H7" s="22">
        <v>0.9</v>
      </c>
      <c r="I7" s="16"/>
    </row>
    <row r="8" spans="1:9" ht="15.75">
      <c r="A8" s="91" t="s">
        <v>183</v>
      </c>
      <c r="B8" s="92">
        <v>55</v>
      </c>
      <c r="C8" s="25">
        <v>1</v>
      </c>
      <c r="D8" s="107" t="s">
        <v>47</v>
      </c>
      <c r="E8" s="172">
        <f>IF(D8="F",0.6,IF(D8="C",0.3,IF(D8="D",0.4,IF(D8="E",0.5,IF(D8="A",0.1,IF(D8="G",0.7,IF(D8="H",0.8,IF(D8="B",0.2,""))))))))</f>
        <v>0.1</v>
      </c>
      <c r="F8" s="31"/>
      <c r="G8" s="31"/>
      <c r="H8" s="22">
        <v>0.95</v>
      </c>
      <c r="I8" s="16"/>
    </row>
    <row r="9" spans="1:9" ht="15.75">
      <c r="A9" s="91" t="s">
        <v>184</v>
      </c>
      <c r="B9" s="92">
        <v>4</v>
      </c>
      <c r="C9" s="25">
        <v>4</v>
      </c>
      <c r="D9" s="107" t="s">
        <v>119</v>
      </c>
      <c r="E9" s="172">
        <f t="shared" ref="E9" si="0">IF(D9="F",0.6,IF(D9="C",0.3,IF(D9="D",0.4,IF(D9="E",0.5,IF(D9="A",0.1,IF(D9="G",0.7,IF(D9="H",0.8,IF(D9="B",0.2,""))))))))</f>
        <v>0.4</v>
      </c>
      <c r="F9" s="31"/>
      <c r="G9" s="31"/>
      <c r="H9" s="22">
        <v>0.85</v>
      </c>
      <c r="I9" s="16"/>
    </row>
    <row r="10" spans="1:9" ht="15.75">
      <c r="A10" s="124" t="s">
        <v>52</v>
      </c>
      <c r="B10" s="24">
        <v>61</v>
      </c>
      <c r="C10" s="35">
        <v>1</v>
      </c>
      <c r="D10" s="173" t="s">
        <v>47</v>
      </c>
      <c r="E10" s="172">
        <f t="shared" ref="E10" si="1">IF(D10="F",0.6,IF(D10="C",0.3,IF(D10="D",0.4,IF(D10="E",0.5,IF(D10="A",0.1,IF(D10="G",0.7,IF(D10="H",0.8,IF(D10="B",0.2,""))))))))</f>
        <v>0.1</v>
      </c>
      <c r="F10" s="33" t="s">
        <v>56</v>
      </c>
      <c r="G10" s="31"/>
      <c r="H10" s="22">
        <v>0.9</v>
      </c>
      <c r="I10" s="16"/>
    </row>
    <row r="11" spans="1:9" ht="15.75">
      <c r="A11" s="91" t="s">
        <v>185</v>
      </c>
      <c r="B11" s="92">
        <v>22</v>
      </c>
      <c r="C11" s="25">
        <v>4</v>
      </c>
      <c r="D11" s="140" t="s">
        <v>119</v>
      </c>
      <c r="E11" s="172">
        <f t="shared" ref="E11" si="2">IF(D11="F",0.6,IF(D11="C",0.3,IF(D11="D",0.4,IF(D11="E",0.5,IF(D11="A",0.1,IF(D11="G",0.7,IF(D11="H",0.8,IF(D11="B",0.2,""))))))))</f>
        <v>0.4</v>
      </c>
      <c r="F11" s="36"/>
      <c r="G11" s="31"/>
      <c r="H11" s="22">
        <v>0.85</v>
      </c>
      <c r="I11" s="16"/>
    </row>
    <row r="12" spans="1:9">
      <c r="B12" s="74"/>
      <c r="D12" s="38" t="s">
        <v>174</v>
      </c>
      <c r="E12" s="39"/>
      <c r="G12" s="31"/>
      <c r="H12" s="22"/>
      <c r="I12" s="16"/>
    </row>
    <row r="13" spans="1:9" ht="20.25">
      <c r="A13" s="271" t="s">
        <v>58</v>
      </c>
      <c r="B13" s="272"/>
      <c r="C13" s="273" t="str">
        <f>A1</f>
        <v>RICHIE</v>
      </c>
      <c r="D13" s="272"/>
      <c r="E13" s="270"/>
      <c r="F13" s="14" t="s">
        <v>37</v>
      </c>
      <c r="G13" s="15" t="s">
        <v>38</v>
      </c>
      <c r="H13" s="274" t="s">
        <v>39</v>
      </c>
      <c r="I13" s="16"/>
    </row>
    <row r="14" spans="1:9" ht="26.25">
      <c r="A14" s="109" t="s">
        <v>0</v>
      </c>
      <c r="B14" s="110" t="s">
        <v>40</v>
      </c>
      <c r="C14" s="111" t="s">
        <v>41</v>
      </c>
      <c r="D14" s="112" t="s">
        <v>42</v>
      </c>
      <c r="E14" s="113" t="s">
        <v>43</v>
      </c>
      <c r="F14" s="17">
        <f>SUM(E15:E23)</f>
        <v>2.3000000000000003</v>
      </c>
      <c r="G14" s="18">
        <f>10+F14+F16+F22</f>
        <v>14</v>
      </c>
      <c r="H14" s="275"/>
      <c r="I14" s="16"/>
    </row>
    <row r="15" spans="1:9">
      <c r="A15" s="23" t="s">
        <v>62</v>
      </c>
      <c r="B15" s="29">
        <v>1</v>
      </c>
      <c r="C15" s="35">
        <v>1</v>
      </c>
      <c r="D15" s="171" t="s">
        <v>47</v>
      </c>
      <c r="E15" s="172">
        <f>IF(D15="F",0.6,IF(D15="C",0.3,IF(D15="D",0.4,IF(D15="E",0.5,IF(D15="A",0.1,IF(D15="G",0.7,IF(D15="H",0.8,IF(D15="B",0.2,""))))))))</f>
        <v>0.1</v>
      </c>
      <c r="F15" s="20" t="s">
        <v>48</v>
      </c>
      <c r="G15" s="21" t="s">
        <v>49</v>
      </c>
      <c r="H15" s="22">
        <v>0.85</v>
      </c>
      <c r="I15" s="16"/>
    </row>
    <row r="16" spans="1:9">
      <c r="A16" s="23" t="s">
        <v>94</v>
      </c>
      <c r="B16" s="29">
        <v>74</v>
      </c>
      <c r="C16" s="25">
        <v>2</v>
      </c>
      <c r="D16" s="107" t="s">
        <v>51</v>
      </c>
      <c r="E16" s="172">
        <f t="shared" ref="E16:E22" si="3">IF(D16="F",0.6,IF(D16="C",0.3,IF(D16="D",0.4,IF(D16="E",0.5,IF(D16="A",0.1,IF(D16="G",0.7,IF(D16="H",0.8,IF(D16="B",0.2,""))))))))</f>
        <v>0.2</v>
      </c>
      <c r="F16" s="26">
        <v>1.7</v>
      </c>
      <c r="G16" s="27">
        <f>G14-1.5</f>
        <v>12.5</v>
      </c>
      <c r="H16" s="22">
        <v>0.9</v>
      </c>
      <c r="I16" s="16"/>
    </row>
    <row r="17" spans="1:9" ht="15.75">
      <c r="A17" s="68" t="s">
        <v>186</v>
      </c>
      <c r="B17" s="78">
        <v>38</v>
      </c>
      <c r="C17" s="193">
        <v>3</v>
      </c>
      <c r="D17" s="194" t="s">
        <v>51</v>
      </c>
      <c r="E17" s="195">
        <f>IF(D17="F",0.6,IF(D17="C",0.3,IF(D17="D",0.4,IF(D17="E",0.5,IF(D17="A",0.1,IF(D17="G",0.7,IF(D17="H",0.8,IF(D17="B",0.2,""))))))))</f>
        <v>0.2</v>
      </c>
      <c r="G17" s="31"/>
      <c r="H17" s="22">
        <v>0.65</v>
      </c>
      <c r="I17" s="16"/>
    </row>
    <row r="18" spans="1:9" ht="15.75">
      <c r="A18" s="23" t="s">
        <v>187</v>
      </c>
      <c r="B18" s="29">
        <v>34</v>
      </c>
      <c r="C18" s="25">
        <v>2</v>
      </c>
      <c r="D18" s="140" t="s">
        <v>119</v>
      </c>
      <c r="E18" s="172">
        <f t="shared" si="3"/>
        <v>0.4</v>
      </c>
      <c r="F18" s="40"/>
      <c r="G18" s="31"/>
      <c r="H18" s="22">
        <v>0.9</v>
      </c>
      <c r="I18" s="16"/>
    </row>
    <row r="19" spans="1:9">
      <c r="A19" s="23" t="s">
        <v>188</v>
      </c>
      <c r="B19" s="29">
        <v>58</v>
      </c>
      <c r="C19" s="34">
        <v>3</v>
      </c>
      <c r="D19" s="107" t="s">
        <v>119</v>
      </c>
      <c r="E19" s="172">
        <f t="shared" si="3"/>
        <v>0.4</v>
      </c>
      <c r="G19" s="31"/>
      <c r="H19" s="22">
        <v>0.65</v>
      </c>
      <c r="I19" s="16"/>
    </row>
    <row r="20" spans="1:9" ht="15.75">
      <c r="A20" s="23" t="s">
        <v>118</v>
      </c>
      <c r="B20" s="29">
        <v>34</v>
      </c>
      <c r="C20" s="35">
        <v>3</v>
      </c>
      <c r="D20" s="171" t="s">
        <v>119</v>
      </c>
      <c r="E20" s="172">
        <f>IF(D20="F",0.6,IF(D20="C",0.3,IF(D20="D",0.4,IF(D20="E",0.5,IF(D20="A",0.1,IF(D20="G",0.7,IF(D20="H",0.8,IF(D20="B",0.2,""))))))))</f>
        <v>0.4</v>
      </c>
      <c r="G20" s="31"/>
      <c r="H20" s="22">
        <v>0.85</v>
      </c>
      <c r="I20" s="16"/>
    </row>
    <row r="21" spans="1:9" ht="15.75" customHeight="1">
      <c r="A21" s="23" t="s">
        <v>189</v>
      </c>
      <c r="B21" s="29">
        <v>40</v>
      </c>
      <c r="C21" s="35">
        <v>3</v>
      </c>
      <c r="D21" s="173" t="s">
        <v>119</v>
      </c>
      <c r="E21" s="172">
        <f t="shared" si="3"/>
        <v>0.4</v>
      </c>
      <c r="F21" s="33" t="s">
        <v>56</v>
      </c>
      <c r="G21" s="31"/>
      <c r="H21" s="22">
        <v>0.8</v>
      </c>
      <c r="I21" s="16"/>
    </row>
    <row r="22" spans="1:9" ht="15.75" customHeight="1">
      <c r="A22" s="23" t="s">
        <v>190</v>
      </c>
      <c r="B22" s="29">
        <v>20</v>
      </c>
      <c r="C22" s="35">
        <v>4</v>
      </c>
      <c r="D22" s="140" t="s">
        <v>51</v>
      </c>
      <c r="E22" s="172">
        <f t="shared" si="3"/>
        <v>0.2</v>
      </c>
      <c r="F22" s="36"/>
      <c r="G22" s="31"/>
      <c r="H22" s="22">
        <v>0.65</v>
      </c>
      <c r="I22" s="16"/>
    </row>
    <row r="23" spans="1:9" ht="15.75" customHeight="1">
      <c r="B23" s="74"/>
      <c r="G23" s="31"/>
      <c r="H23" s="41"/>
      <c r="I23" s="16"/>
    </row>
    <row r="24" spans="1:9" ht="15.75" customHeight="1">
      <c r="A24" s="271" t="s">
        <v>66</v>
      </c>
      <c r="B24" s="272"/>
      <c r="C24" s="273" t="str">
        <f>A1</f>
        <v>RICHIE</v>
      </c>
      <c r="D24" s="272"/>
      <c r="E24" s="270"/>
      <c r="F24" s="14" t="s">
        <v>37</v>
      </c>
      <c r="G24" s="15" t="s">
        <v>38</v>
      </c>
      <c r="H24" s="274" t="s">
        <v>39</v>
      </c>
      <c r="I24" s="16"/>
    </row>
    <row r="25" spans="1:9" ht="26.25">
      <c r="A25" s="109" t="s">
        <v>0</v>
      </c>
      <c r="B25" s="110" t="s">
        <v>40</v>
      </c>
      <c r="C25" s="111" t="s">
        <v>41</v>
      </c>
      <c r="D25" s="112" t="s">
        <v>42</v>
      </c>
      <c r="E25" s="113" t="s">
        <v>43</v>
      </c>
      <c r="F25" s="17">
        <f>SUM(E26:E34)+F29</f>
        <v>2</v>
      </c>
      <c r="G25" s="18">
        <f>10+F25+F27+F33</f>
        <v>13.4</v>
      </c>
      <c r="H25" s="275"/>
      <c r="I25" s="16"/>
    </row>
    <row r="26" spans="1:9" ht="15.75" customHeight="1">
      <c r="A26" s="23" t="s">
        <v>152</v>
      </c>
      <c r="B26" s="29">
        <v>43</v>
      </c>
      <c r="C26" s="35">
        <v>1</v>
      </c>
      <c r="D26" s="171" t="s">
        <v>47</v>
      </c>
      <c r="E26" s="172">
        <f>IF(D26="F",0.6,IF(D26="C",0.3,IF(D26="D",0.4,IF(D26="E",0.5,IF(D26="A",0.1,IF(D26="G",0.7,IF(D26="H",0.8,IF(D26="B",0.2,""))))))))</f>
        <v>0.1</v>
      </c>
      <c r="F26" s="20" t="s">
        <v>48</v>
      </c>
      <c r="G26" s="21" t="s">
        <v>49</v>
      </c>
      <c r="H26" s="22">
        <v>0.85</v>
      </c>
      <c r="I26" s="16"/>
    </row>
    <row r="27" spans="1:9" ht="15.75" customHeight="1">
      <c r="A27" s="23" t="s">
        <v>153</v>
      </c>
      <c r="B27" s="29">
        <v>8</v>
      </c>
      <c r="C27" s="25">
        <v>3</v>
      </c>
      <c r="D27" s="107" t="s">
        <v>51</v>
      </c>
      <c r="E27" s="172">
        <f t="shared" ref="E27:E33" si="4">IF(D27="F",0.6,IF(D27="C",0.3,IF(D27="D",0.4,IF(D27="E",0.5,IF(D27="A",0.1,IF(D27="G",0.7,IF(D27="H",0.8,IF(D27="B",0.2,""))))))))</f>
        <v>0.2</v>
      </c>
      <c r="F27" s="26">
        <v>1.4</v>
      </c>
      <c r="G27" s="27">
        <f>G25-1.5</f>
        <v>11.9</v>
      </c>
      <c r="H27" s="22">
        <v>0.75</v>
      </c>
      <c r="I27" s="16"/>
    </row>
    <row r="28" spans="1:9" ht="15.75" customHeight="1">
      <c r="A28" s="23" t="s">
        <v>137</v>
      </c>
      <c r="B28" s="29">
        <v>68</v>
      </c>
      <c r="C28" s="30">
        <v>2</v>
      </c>
      <c r="D28" s="140" t="s">
        <v>100</v>
      </c>
      <c r="E28" s="172">
        <f t="shared" si="4"/>
        <v>0.3</v>
      </c>
      <c r="G28" s="31"/>
      <c r="H28" s="22">
        <v>0.6</v>
      </c>
      <c r="I28" s="16"/>
    </row>
    <row r="29" spans="1:9" ht="15.75" customHeight="1">
      <c r="A29" s="23" t="s">
        <v>70</v>
      </c>
      <c r="B29" s="29">
        <v>31</v>
      </c>
      <c r="C29" s="30">
        <v>1</v>
      </c>
      <c r="D29" s="140" t="s">
        <v>47</v>
      </c>
      <c r="E29" s="172">
        <f t="shared" si="4"/>
        <v>0.1</v>
      </c>
      <c r="G29" s="31"/>
      <c r="H29" s="22">
        <v>0.6</v>
      </c>
      <c r="I29" s="16"/>
    </row>
    <row r="30" spans="1:9" ht="15.75" customHeight="1">
      <c r="A30" s="23" t="s">
        <v>191</v>
      </c>
      <c r="B30" s="29">
        <v>45</v>
      </c>
      <c r="C30" s="34">
        <v>1</v>
      </c>
      <c r="D30" s="107" t="s">
        <v>100</v>
      </c>
      <c r="E30" s="172">
        <f t="shared" si="4"/>
        <v>0.3</v>
      </c>
      <c r="G30" s="31"/>
      <c r="H30" s="22">
        <v>0.75</v>
      </c>
      <c r="I30" s="16"/>
    </row>
    <row r="31" spans="1:9" ht="15.75" customHeight="1">
      <c r="A31" s="23" t="s">
        <v>144</v>
      </c>
      <c r="B31" s="29">
        <v>62</v>
      </c>
      <c r="C31" s="35">
        <v>1</v>
      </c>
      <c r="D31" s="173" t="s">
        <v>100</v>
      </c>
      <c r="E31" s="172">
        <f t="shared" si="4"/>
        <v>0.3</v>
      </c>
      <c r="G31" s="31"/>
      <c r="H31" s="22">
        <v>0.65</v>
      </c>
      <c r="I31" s="16"/>
    </row>
    <row r="32" spans="1:9" ht="15.75" customHeight="1">
      <c r="A32" s="23" t="s">
        <v>87</v>
      </c>
      <c r="B32" s="29">
        <v>75</v>
      </c>
      <c r="C32" s="35">
        <v>1</v>
      </c>
      <c r="D32" s="173" t="s">
        <v>100</v>
      </c>
      <c r="E32" s="172">
        <f t="shared" si="4"/>
        <v>0.3</v>
      </c>
      <c r="F32" s="33" t="s">
        <v>56</v>
      </c>
      <c r="G32" s="31"/>
      <c r="H32" s="22">
        <v>0.85</v>
      </c>
      <c r="I32" s="16"/>
    </row>
    <row r="33" spans="1:15" ht="15.75" customHeight="1">
      <c r="A33" s="23" t="s">
        <v>192</v>
      </c>
      <c r="B33" s="29">
        <v>52</v>
      </c>
      <c r="C33" s="35">
        <v>4</v>
      </c>
      <c r="D33" s="140" t="s">
        <v>100</v>
      </c>
      <c r="E33" s="172">
        <f t="shared" si="4"/>
        <v>0.3</v>
      </c>
      <c r="F33" s="36"/>
      <c r="G33" s="31"/>
      <c r="H33" s="22">
        <v>0.8</v>
      </c>
      <c r="I33" s="16"/>
    </row>
    <row r="34" spans="1:15" ht="15.75" customHeight="1">
      <c r="B34" s="74"/>
      <c r="D34" s="38" t="s">
        <v>174</v>
      </c>
      <c r="E34" s="39">
        <v>0.1</v>
      </c>
      <c r="G34" s="31"/>
      <c r="H34" s="41"/>
      <c r="I34" s="16"/>
    </row>
    <row r="35" spans="1:15" ht="15.75" customHeight="1">
      <c r="B35" s="74"/>
      <c r="G35" s="31"/>
      <c r="H35" s="41"/>
      <c r="I35" s="16"/>
    </row>
    <row r="36" spans="1:15" ht="15.75" customHeight="1">
      <c r="A36" s="271" t="s">
        <v>75</v>
      </c>
      <c r="B36" s="272"/>
      <c r="C36" s="273" t="str">
        <f>A1</f>
        <v>RICHIE</v>
      </c>
      <c r="D36" s="270"/>
      <c r="E36" s="31"/>
      <c r="G36" s="31"/>
      <c r="H36" s="276" t="s">
        <v>39</v>
      </c>
      <c r="I36" s="16"/>
    </row>
    <row r="37" spans="1:15" ht="28.5" customHeight="1">
      <c r="A37" s="114" t="s">
        <v>0</v>
      </c>
      <c r="B37" s="110" t="s">
        <v>40</v>
      </c>
      <c r="C37" s="116" t="s">
        <v>41</v>
      </c>
      <c r="D37" s="117" t="s">
        <v>42</v>
      </c>
      <c r="E37" s="31"/>
      <c r="G37" s="31"/>
      <c r="H37" s="277"/>
      <c r="I37" s="16"/>
    </row>
    <row r="38" spans="1:15" ht="15.75" customHeight="1">
      <c r="A38" s="23" t="s">
        <v>193</v>
      </c>
      <c r="B38" s="29">
        <v>125</v>
      </c>
      <c r="C38" s="35">
        <v>1</v>
      </c>
      <c r="D38" s="28">
        <v>3.6</v>
      </c>
      <c r="E38" s="14" t="s">
        <v>37</v>
      </c>
      <c r="F38" s="15" t="s">
        <v>76</v>
      </c>
      <c r="G38" s="21" t="s">
        <v>49</v>
      </c>
      <c r="H38" s="22">
        <v>0.6</v>
      </c>
      <c r="I38" s="16"/>
    </row>
    <row r="39" spans="1:15" ht="15.75" customHeight="1">
      <c r="A39" s="43" t="s">
        <v>178</v>
      </c>
      <c r="B39" s="121">
        <v>313</v>
      </c>
      <c r="C39" s="30">
        <v>3</v>
      </c>
      <c r="D39" s="65">
        <v>2.8</v>
      </c>
      <c r="E39" s="17"/>
      <c r="F39" s="18">
        <f>10+D38</f>
        <v>13.6</v>
      </c>
      <c r="G39" s="27">
        <f>F39-1.3</f>
        <v>12.299999999999999</v>
      </c>
      <c r="H39" s="22">
        <v>0.7</v>
      </c>
      <c r="I39" s="16"/>
    </row>
    <row r="40" spans="1:15" ht="15.75" customHeight="1">
      <c r="B40" s="74"/>
      <c r="G40" s="31"/>
      <c r="H40" s="41"/>
      <c r="I40" s="16"/>
    </row>
    <row r="41" spans="1:15" ht="15.75" customHeight="1">
      <c r="A41" s="271" t="s">
        <v>78</v>
      </c>
      <c r="B41" s="272"/>
      <c r="C41" s="273" t="str">
        <f>A1</f>
        <v>RICHIE</v>
      </c>
      <c r="D41" s="272"/>
      <c r="E41" s="270"/>
      <c r="F41" s="14" t="s">
        <v>37</v>
      </c>
      <c r="G41" s="15" t="s">
        <v>38</v>
      </c>
      <c r="H41" s="274" t="s">
        <v>39</v>
      </c>
      <c r="I41" s="16"/>
    </row>
    <row r="42" spans="1:15" ht="28.5">
      <c r="A42" s="103" t="s">
        <v>0</v>
      </c>
      <c r="B42" s="127" t="s">
        <v>40</v>
      </c>
      <c r="C42" s="128" t="s">
        <v>41</v>
      </c>
      <c r="D42" s="154" t="s">
        <v>42</v>
      </c>
      <c r="E42" s="129" t="s">
        <v>43</v>
      </c>
      <c r="F42" s="149">
        <f>SUM(E43:E50)</f>
        <v>1.7000000000000002</v>
      </c>
      <c r="G42" s="18">
        <f>10+F42+F44+F50</f>
        <v>13.2</v>
      </c>
      <c r="H42" s="275"/>
      <c r="I42" s="16"/>
    </row>
    <row r="43" spans="1:15" ht="15.75" customHeight="1">
      <c r="A43" s="23" t="s">
        <v>128</v>
      </c>
      <c r="B43" s="29">
        <v>116</v>
      </c>
      <c r="C43" s="25">
        <v>3</v>
      </c>
      <c r="D43" s="140" t="s">
        <v>51</v>
      </c>
      <c r="E43" s="190">
        <f>IF(D43="F",0.6,IF(D43="C",0.3,IF(D43="D",0.4,IF(D43="E",0.5,IF(D43="A",0.1,IF(D43="G",0.7,IF(D43="H",0.8,IF(D43="B",0.2,""))))))))</f>
        <v>0.2</v>
      </c>
      <c r="F43" s="20" t="s">
        <v>48</v>
      </c>
      <c r="G43" s="156" t="s">
        <v>49</v>
      </c>
      <c r="H43" s="22">
        <v>0.9</v>
      </c>
      <c r="I43" s="16"/>
    </row>
    <row r="44" spans="1:15" ht="15.75" customHeight="1">
      <c r="A44" s="23" t="s">
        <v>123</v>
      </c>
      <c r="B44" s="29">
        <v>1</v>
      </c>
      <c r="C44" s="25">
        <v>2</v>
      </c>
      <c r="D44" s="140" t="s">
        <v>47</v>
      </c>
      <c r="E44" s="195">
        <f t="shared" ref="E44" si="5">IF(D44="F",0.6,IF(D44="C",0.3,IF(D44="D",0.4,IF(D44="E",0.5,IF(D44="A",0.1,IF(D44="G",0.7,IF(D44="H",0.8,IF(D44="B",0.2,""))))))))</f>
        <v>0.1</v>
      </c>
      <c r="F44" s="26">
        <v>1.5</v>
      </c>
      <c r="G44" s="157">
        <f>G42-1.5</f>
        <v>11.7</v>
      </c>
      <c r="H44" s="22">
        <v>0.9</v>
      </c>
      <c r="I44" s="186"/>
      <c r="O44" s="108"/>
    </row>
    <row r="45" spans="1:15" ht="15.75" customHeight="1">
      <c r="A45" s="23" t="s">
        <v>83</v>
      </c>
      <c r="B45" s="24">
        <v>8</v>
      </c>
      <c r="C45" s="25">
        <v>2</v>
      </c>
      <c r="D45" s="107" t="s">
        <v>51</v>
      </c>
      <c r="E45" s="172">
        <f>IF(D45="F",0.6,IF(D45="C",0.3,IF(D45="D",0.4,IF(D45="E",0.5,IF(D45="A",0.1,IF(D45="G",0.7,IF(D45="H",0.8,IF(D45="B",0.2,""))))))))</f>
        <v>0.2</v>
      </c>
      <c r="F45" s="108"/>
      <c r="G45" s="31"/>
      <c r="H45" s="22">
        <v>0.65</v>
      </c>
      <c r="I45" s="186"/>
      <c r="O45" s="108"/>
    </row>
    <row r="46" spans="1:15" ht="15.75" customHeight="1">
      <c r="A46" s="23" t="s">
        <v>194</v>
      </c>
      <c r="B46" s="24">
        <v>27</v>
      </c>
      <c r="C46" s="30">
        <v>2</v>
      </c>
      <c r="D46" s="185" t="s">
        <v>100</v>
      </c>
      <c r="E46" s="203">
        <f>IF(D46="F",0.6,IF(D46="C",0.3,IF(D46="D",0.4,IF(D46="E",0.5,IF(D46="A",0.1,IF(D46="G",0.7,IF(D46="H",0.8,IF(D46="B",0.2,""))))))))</f>
        <v>0.3</v>
      </c>
      <c r="G46" s="31"/>
      <c r="H46" s="22">
        <v>0.85</v>
      </c>
      <c r="I46" s="186"/>
      <c r="O46" s="108"/>
    </row>
    <row r="47" spans="1:15" ht="15.75" customHeight="1">
      <c r="A47" s="23" t="s">
        <v>81</v>
      </c>
      <c r="B47" s="24">
        <v>1</v>
      </c>
      <c r="C47" s="35">
        <v>1</v>
      </c>
      <c r="D47" s="173" t="s">
        <v>47</v>
      </c>
      <c r="E47" s="172">
        <f>IF(D47="F",0.6,IF(D47="C",0.3,IF(D47="D",0.4,IF(D47="E",0.5,IF(D47="A",0.1,IF(D47="G",0.7,IF(D47="H",0.8,IF(D47="B",0.2,""))))))))</f>
        <v>0.1</v>
      </c>
      <c r="G47" s="31"/>
      <c r="H47" s="22">
        <v>0.9</v>
      </c>
      <c r="I47" s="186"/>
      <c r="O47" s="108"/>
    </row>
    <row r="48" spans="1:15" ht="15.75" customHeight="1">
      <c r="A48" s="23" t="s">
        <v>157</v>
      </c>
      <c r="B48" s="24">
        <v>91</v>
      </c>
      <c r="C48" s="30">
        <v>2</v>
      </c>
      <c r="D48" s="140" t="s">
        <v>47</v>
      </c>
      <c r="E48" s="172">
        <f>IF(D48="F",0.6,IF(D48="C",0.3,IF(D48="D",0.4,IF(D48="E",0.5,IF(D48="A",0.1,IF(D48="G",0.7,IF(D48="H",0.8,IF(D48="B",0.2,""))))))))</f>
        <v>0.1</v>
      </c>
      <c r="G48" s="31"/>
      <c r="H48" s="22">
        <v>0.85</v>
      </c>
      <c r="I48" s="16"/>
    </row>
    <row r="49" spans="1:9" ht="15.75" customHeight="1">
      <c r="A49" s="23" t="s">
        <v>195</v>
      </c>
      <c r="B49" s="24">
        <v>3</v>
      </c>
      <c r="C49" s="25">
        <v>2</v>
      </c>
      <c r="D49" s="185" t="s">
        <v>100</v>
      </c>
      <c r="E49" s="172">
        <f>IF(D49="F",0.6,IF(D49="C",0.3,IF(D49="D",0.4,IF(D49="E",0.5,IF(D49="A",0.1,IF(D49="G",0.7,IF(D49="H",0.8,IF(D49="B",0.2,""))))))))</f>
        <v>0.3</v>
      </c>
      <c r="F49" s="33" t="s">
        <v>56</v>
      </c>
      <c r="G49" s="31"/>
      <c r="H49" s="22">
        <v>0.65</v>
      </c>
      <c r="I49" s="16"/>
    </row>
    <row r="50" spans="1:9" ht="15.75" customHeight="1">
      <c r="A50" s="23" t="s">
        <v>172</v>
      </c>
      <c r="B50" s="29">
        <v>33</v>
      </c>
      <c r="C50" s="198">
        <v>4</v>
      </c>
      <c r="D50" s="140" t="s">
        <v>119</v>
      </c>
      <c r="E50" s="172">
        <f t="shared" ref="E50" si="6">IF(D50="F",0.6,IF(D50="C",0.3,IF(D50="D",0.4,IF(D50="E",0.5,IF(D50="A",0.1,IF(D50="G",0.7,IF(D50="H",0.8,IF(D50="B",0.2,""))))))))</f>
        <v>0.4</v>
      </c>
      <c r="F50" s="36"/>
      <c r="G50" s="31"/>
      <c r="H50" s="22">
        <v>0.7</v>
      </c>
      <c r="I50" s="16"/>
    </row>
    <row r="51" spans="1:9" ht="15.75" customHeight="1">
      <c r="A51" s="108"/>
      <c r="B51" s="212"/>
      <c r="G51" s="31"/>
      <c r="H51" s="41"/>
      <c r="I51" s="16"/>
    </row>
    <row r="52" spans="1:9" ht="15.75" customHeight="1">
      <c r="A52" s="271" t="s">
        <v>7</v>
      </c>
      <c r="B52" s="272"/>
      <c r="C52" s="273" t="str">
        <f>A1</f>
        <v>RICHIE</v>
      </c>
      <c r="D52" s="272"/>
      <c r="E52" s="270"/>
      <c r="F52" s="14" t="s">
        <v>37</v>
      </c>
      <c r="G52" s="15" t="s">
        <v>38</v>
      </c>
      <c r="H52" s="274" t="s">
        <v>39</v>
      </c>
      <c r="I52" s="16"/>
    </row>
    <row r="53" spans="1:9" ht="26.25">
      <c r="A53" s="109" t="s">
        <v>0</v>
      </c>
      <c r="B53" s="110" t="s">
        <v>40</v>
      </c>
      <c r="C53" s="111" t="s">
        <v>41</v>
      </c>
      <c r="D53" s="118" t="s">
        <v>42</v>
      </c>
      <c r="E53" s="113" t="s">
        <v>43</v>
      </c>
      <c r="F53" s="17">
        <f>SUM(E54:E61)</f>
        <v>1.7999999999999998</v>
      </c>
      <c r="G53" s="18">
        <f>10+F53+F55+F61</f>
        <v>13.700000000000001</v>
      </c>
      <c r="H53" s="275"/>
      <c r="I53" s="16"/>
    </row>
    <row r="54" spans="1:9" ht="15.75" customHeight="1">
      <c r="A54" s="23" t="s">
        <v>196</v>
      </c>
      <c r="B54" s="29">
        <v>1</v>
      </c>
      <c r="C54" s="35">
        <v>1</v>
      </c>
      <c r="D54" s="171" t="s">
        <v>47</v>
      </c>
      <c r="E54" s="172">
        <f>IF(D54="F",0.6,IF(D54="C",0.3,IF(D54="D",0.4,IF(D54="E",0.5,IF(D54="A",0.1,IF(D54="G",0.7,IF(D54="H",0.8,IF(D54="B",0.2,""))))))))</f>
        <v>0.1</v>
      </c>
      <c r="F54" s="20" t="s">
        <v>48</v>
      </c>
      <c r="G54" s="21" t="s">
        <v>49</v>
      </c>
      <c r="H54" s="22">
        <v>0.85</v>
      </c>
      <c r="I54" s="16"/>
    </row>
    <row r="55" spans="1:9" ht="15.75" customHeight="1">
      <c r="A55" s="23" t="s">
        <v>87</v>
      </c>
      <c r="B55" s="29">
        <v>31</v>
      </c>
      <c r="C55" s="35">
        <v>1</v>
      </c>
      <c r="D55" s="171" t="s">
        <v>47</v>
      </c>
      <c r="E55" s="172">
        <f>IF(D55="F",0.6,IF(D55="C",0.3,IF(D55="D",0.4,IF(D55="E",0.5,IF(D55="A",0.1,IF(D55="G",0.7,IF(D55="H",0.8,IF(D55="B",0.2,""))))))))</f>
        <v>0.1</v>
      </c>
      <c r="F55" s="26">
        <v>1.9</v>
      </c>
      <c r="G55" s="27">
        <f>G53-1.5</f>
        <v>12.200000000000001</v>
      </c>
      <c r="H55" s="22">
        <v>0.65</v>
      </c>
      <c r="I55" s="16"/>
    </row>
    <row r="56" spans="1:9" ht="15.75" customHeight="1">
      <c r="A56" s="23" t="s">
        <v>197</v>
      </c>
      <c r="B56" s="29">
        <v>15</v>
      </c>
      <c r="C56" s="30">
        <v>2</v>
      </c>
      <c r="D56" s="140" t="s">
        <v>100</v>
      </c>
      <c r="E56" s="172">
        <f t="shared" ref="E55:E61" si="7">IF(D56="F",0.6,IF(D56="C",0.3,IF(D56="D",0.4,IF(D56="E",0.5,IF(D56="A",0.1,IF(D56="G",0.7,IF(D56="H",0.8,IF(D56="B",0.2,""))))))))</f>
        <v>0.3</v>
      </c>
      <c r="F56" s="31"/>
      <c r="G56" s="31"/>
      <c r="H56" s="22">
        <v>0.7</v>
      </c>
      <c r="I56" s="16"/>
    </row>
    <row r="57" spans="1:9" ht="15.75" customHeight="1">
      <c r="A57" s="23" t="s">
        <v>198</v>
      </c>
      <c r="B57" s="29">
        <v>38</v>
      </c>
      <c r="C57" s="25">
        <v>3</v>
      </c>
      <c r="D57" s="140" t="s">
        <v>51</v>
      </c>
      <c r="E57" s="172">
        <f t="shared" si="7"/>
        <v>0.2</v>
      </c>
      <c r="F57" s="31"/>
      <c r="G57" s="31"/>
      <c r="H57" s="22">
        <v>0.85</v>
      </c>
      <c r="I57" s="16"/>
    </row>
    <row r="58" spans="1:9" ht="15.75" customHeight="1">
      <c r="A58" s="23" t="s">
        <v>102</v>
      </c>
      <c r="B58" s="29">
        <v>37</v>
      </c>
      <c r="C58" s="34">
        <v>1</v>
      </c>
      <c r="D58" s="107" t="s">
        <v>47</v>
      </c>
      <c r="E58" s="172">
        <f t="shared" si="7"/>
        <v>0.1</v>
      </c>
      <c r="F58" s="31"/>
      <c r="G58" s="31"/>
      <c r="H58" s="22">
        <v>0.9</v>
      </c>
      <c r="I58" s="16"/>
    </row>
    <row r="59" spans="1:9" ht="15.75" customHeight="1">
      <c r="A59" s="23" t="s">
        <v>145</v>
      </c>
      <c r="B59" s="29">
        <v>32</v>
      </c>
      <c r="C59" s="35">
        <v>3</v>
      </c>
      <c r="D59" s="173" t="s">
        <v>51</v>
      </c>
      <c r="E59" s="172">
        <f t="shared" si="7"/>
        <v>0.2</v>
      </c>
      <c r="F59" s="40"/>
      <c r="G59" s="31"/>
      <c r="H59" s="22">
        <v>0.85</v>
      </c>
      <c r="I59" s="16"/>
    </row>
    <row r="60" spans="1:9" ht="15.75" customHeight="1">
      <c r="A60" s="23" t="s">
        <v>199</v>
      </c>
      <c r="B60" s="24">
        <v>64</v>
      </c>
      <c r="C60" s="35">
        <v>3</v>
      </c>
      <c r="D60" s="173" t="s">
        <v>119</v>
      </c>
      <c r="E60" s="172">
        <f t="shared" si="7"/>
        <v>0.4</v>
      </c>
      <c r="F60" s="33" t="s">
        <v>56</v>
      </c>
      <c r="G60" s="31"/>
      <c r="H60" s="22">
        <v>0.65</v>
      </c>
      <c r="I60" s="16"/>
    </row>
    <row r="61" spans="1:9" ht="15.75" customHeight="1">
      <c r="A61" s="23" t="s">
        <v>200</v>
      </c>
      <c r="B61" s="29">
        <v>41</v>
      </c>
      <c r="C61" s="35">
        <v>4</v>
      </c>
      <c r="D61" s="140" t="s">
        <v>119</v>
      </c>
      <c r="E61" s="172">
        <f t="shared" si="7"/>
        <v>0.4</v>
      </c>
      <c r="F61" s="36"/>
      <c r="G61" s="31"/>
      <c r="H61" s="22">
        <v>0.75</v>
      </c>
      <c r="I61" s="16"/>
    </row>
    <row r="62" spans="1:9" ht="15.75" customHeight="1">
      <c r="A62" s="31"/>
      <c r="B62" s="48"/>
      <c r="C62" s="31"/>
      <c r="D62" s="31"/>
      <c r="E62" s="31"/>
      <c r="F62" s="31"/>
      <c r="G62" s="31"/>
      <c r="H62" s="41"/>
      <c r="I62" s="16"/>
    </row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9">
    <mergeCell ref="H52:H53"/>
    <mergeCell ref="C52:E52"/>
    <mergeCell ref="H36:H37"/>
    <mergeCell ref="H2:H3"/>
    <mergeCell ref="H24:H25"/>
    <mergeCell ref="H13:H14"/>
    <mergeCell ref="H41:H42"/>
    <mergeCell ref="A52:B52"/>
    <mergeCell ref="A1:B1"/>
    <mergeCell ref="A2:B2"/>
    <mergeCell ref="C36:D36"/>
    <mergeCell ref="A36:B36"/>
    <mergeCell ref="A24:B24"/>
    <mergeCell ref="C24:E24"/>
    <mergeCell ref="A13:B13"/>
    <mergeCell ref="C13:E13"/>
    <mergeCell ref="A41:B41"/>
    <mergeCell ref="C2:E2"/>
    <mergeCell ref="C41:E41"/>
  </mergeCells>
  <conditionalFormatting sqref="A2 A13 A24 A36 A41 A52">
    <cfRule type="expression" dxfId="359" priority="317">
      <formula>AK:AK&gt;=80</formula>
    </cfRule>
  </conditionalFormatting>
  <conditionalFormatting sqref="A4 A29 A44">
    <cfRule type="expression" dxfId="358" priority="318">
      <formula>H:H&gt;=80</formula>
    </cfRule>
  </conditionalFormatting>
  <conditionalFormatting sqref="C4:C8 C50">
    <cfRule type="cellIs" dxfId="357" priority="242" operator="equal">
      <formula>4</formula>
    </cfRule>
    <cfRule type="cellIs" dxfId="356" priority="243" operator="equal">
      <formula>3</formula>
    </cfRule>
    <cfRule type="cellIs" dxfId="355" priority="244" operator="equal">
      <formula>2</formula>
    </cfRule>
    <cfRule type="cellIs" dxfId="354" priority="245" operator="equal">
      <formula>1</formula>
    </cfRule>
  </conditionalFormatting>
  <conditionalFormatting sqref="C15:C16 C21:C22 C18:C19">
    <cfRule type="cellIs" dxfId="353" priority="296" operator="equal">
      <formula>4</formula>
    </cfRule>
    <cfRule type="cellIs" dxfId="352" priority="297" operator="equal">
      <formula>3</formula>
    </cfRule>
    <cfRule type="cellIs" dxfId="351" priority="298" operator="equal">
      <formula>2</formula>
    </cfRule>
    <cfRule type="cellIs" dxfId="350" priority="299" operator="equal">
      <formula>1</formula>
    </cfRule>
  </conditionalFormatting>
  <conditionalFormatting sqref="C26:C28 C30:C33">
    <cfRule type="cellIs" dxfId="349" priority="285" operator="equal">
      <formula>4</formula>
    </cfRule>
    <cfRule type="cellIs" dxfId="348" priority="286" operator="equal">
      <formula>3</formula>
    </cfRule>
    <cfRule type="cellIs" dxfId="347" priority="287" operator="equal">
      <formula>2</formula>
    </cfRule>
    <cfRule type="cellIs" dxfId="346" priority="288" operator="equal">
      <formula>1</formula>
    </cfRule>
  </conditionalFormatting>
  <conditionalFormatting sqref="C54:C61">
    <cfRule type="cellIs" dxfId="345" priority="263" operator="equal">
      <formula>4</formula>
    </cfRule>
    <cfRule type="cellIs" dxfId="344" priority="264" operator="equal">
      <formula>3</formula>
    </cfRule>
    <cfRule type="cellIs" dxfId="343" priority="265" operator="equal">
      <formula>2</formula>
    </cfRule>
    <cfRule type="cellIs" dxfId="342" priority="266" operator="equal">
      <formula>1</formula>
    </cfRule>
  </conditionalFormatting>
  <conditionalFormatting sqref="D4:D8 D50">
    <cfRule type="containsText" dxfId="341" priority="235" operator="containsText" text="G">
      <formula>NOT(ISERROR(SEARCH("G",D4)))</formula>
    </cfRule>
    <cfRule type="containsText" dxfId="340" priority="236" operator="containsText" text="F">
      <formula>NOT(ISERROR(SEARCH("F",D4)))</formula>
    </cfRule>
    <cfRule type="containsText" dxfId="339" priority="237" operator="containsText" text="E">
      <formula>NOT(ISERROR(SEARCH("E",D4)))</formula>
    </cfRule>
    <cfRule type="containsText" dxfId="338" priority="238" operator="containsText" text="D">
      <formula>NOT(ISERROR(SEARCH("D",D4)))</formula>
    </cfRule>
    <cfRule type="containsText" dxfId="337" priority="239" operator="containsText" text="C">
      <formula>NOT(ISERROR(SEARCH("C",D4)))</formula>
    </cfRule>
    <cfRule type="containsText" dxfId="336" priority="240" operator="containsText" text="B">
      <formula>NOT(ISERROR(SEARCH("B",D4)))</formula>
    </cfRule>
    <cfRule type="containsText" dxfId="335" priority="241" operator="containsText" text="A">
      <formula>NOT(ISERROR(SEARCH("A",D4)))</formula>
    </cfRule>
  </conditionalFormatting>
  <conditionalFormatting sqref="D15:D16 D21:D22 D18:D19">
    <cfRule type="containsText" dxfId="334" priority="289" operator="containsText" text="G">
      <formula>NOT(ISERROR(SEARCH("G",D15)))</formula>
    </cfRule>
    <cfRule type="containsText" dxfId="333" priority="290" operator="containsText" text="F">
      <formula>NOT(ISERROR(SEARCH("F",D15)))</formula>
    </cfRule>
    <cfRule type="containsText" dxfId="332" priority="291" operator="containsText" text="E">
      <formula>NOT(ISERROR(SEARCH("E",D15)))</formula>
    </cfRule>
    <cfRule type="containsText" dxfId="331" priority="292" operator="containsText" text="D">
      <formula>NOT(ISERROR(SEARCH("D",D15)))</formula>
    </cfRule>
    <cfRule type="containsText" dxfId="330" priority="293" operator="containsText" text="C">
      <formula>NOT(ISERROR(SEARCH("C",D15)))</formula>
    </cfRule>
    <cfRule type="containsText" dxfId="329" priority="294" operator="containsText" text="B">
      <formula>NOT(ISERROR(SEARCH("B",D15)))</formula>
    </cfRule>
    <cfRule type="containsText" dxfId="328" priority="295" operator="containsText" text="A">
      <formula>NOT(ISERROR(SEARCH("A",D15)))</formula>
    </cfRule>
  </conditionalFormatting>
  <conditionalFormatting sqref="D26:D28 D30:D33">
    <cfRule type="containsText" dxfId="327" priority="278" operator="containsText" text="G">
      <formula>NOT(ISERROR(SEARCH("G",D26)))</formula>
    </cfRule>
    <cfRule type="containsText" dxfId="326" priority="279" operator="containsText" text="F">
      <formula>NOT(ISERROR(SEARCH("F",D26)))</formula>
    </cfRule>
    <cfRule type="containsText" dxfId="325" priority="280" operator="containsText" text="E">
      <formula>NOT(ISERROR(SEARCH("E",D26)))</formula>
    </cfRule>
    <cfRule type="containsText" dxfId="324" priority="281" operator="containsText" text="D">
      <formula>NOT(ISERROR(SEARCH("D",D26)))</formula>
    </cfRule>
    <cfRule type="containsText" dxfId="323" priority="282" operator="containsText" text="C">
      <formula>NOT(ISERROR(SEARCH("C",D26)))</formula>
    </cfRule>
    <cfRule type="containsText" dxfId="322" priority="283" operator="containsText" text="B">
      <formula>NOT(ISERROR(SEARCH("B",D26)))</formula>
    </cfRule>
    <cfRule type="containsText" dxfId="321" priority="284" operator="containsText" text="A">
      <formula>NOT(ISERROR(SEARCH("A",D26)))</formula>
    </cfRule>
  </conditionalFormatting>
  <conditionalFormatting sqref="D54:D61">
    <cfRule type="containsText" dxfId="320" priority="256" operator="containsText" text="G">
      <formula>NOT(ISERROR(SEARCH("G",D54)))</formula>
    </cfRule>
    <cfRule type="containsText" dxfId="319" priority="257" operator="containsText" text="F">
      <formula>NOT(ISERROR(SEARCH("F",D54)))</formula>
    </cfRule>
    <cfRule type="containsText" dxfId="318" priority="258" operator="containsText" text="E">
      <formula>NOT(ISERROR(SEARCH("E",D54)))</formula>
    </cfRule>
    <cfRule type="containsText" dxfId="317" priority="259" operator="containsText" text="D">
      <formula>NOT(ISERROR(SEARCH("D",D54)))</formula>
    </cfRule>
    <cfRule type="containsText" dxfId="316" priority="260" operator="containsText" text="C">
      <formula>NOT(ISERROR(SEARCH("C",D54)))</formula>
    </cfRule>
    <cfRule type="containsText" dxfId="315" priority="261" operator="containsText" text="B">
      <formula>NOT(ISERROR(SEARCH("B",D54)))</formula>
    </cfRule>
    <cfRule type="containsText" dxfId="314" priority="262" operator="containsText" text="A">
      <formula>NOT(ISERROR(SEARCH("A",D54)))</formula>
    </cfRule>
  </conditionalFormatting>
  <conditionalFormatting sqref="H1 I1:I62">
    <cfRule type="cellIs" dxfId="313" priority="249" stopIfTrue="1" operator="between">
      <formula>0.81</formula>
      <formula>1</formula>
    </cfRule>
    <cfRule type="cellIs" dxfId="312" priority="250" stopIfTrue="1" operator="between">
      <formula>0.7</formula>
      <formula>0.8</formula>
    </cfRule>
    <cfRule type="cellIs" dxfId="311" priority="251" stopIfTrue="1" operator="between">
      <formula>0.01</formula>
      <formula>0.69</formula>
    </cfRule>
  </conditionalFormatting>
  <conditionalFormatting sqref="H1:H62">
    <cfRule type="cellIs" dxfId="310" priority="246" operator="between">
      <formula>0.7</formula>
      <formula>0.8</formula>
    </cfRule>
    <cfRule type="cellIs" dxfId="309" priority="247" operator="between">
      <formula>0.8</formula>
      <formula>1</formula>
    </cfRule>
    <cfRule type="cellIs" dxfId="308" priority="248" operator="between">
      <formula>69%</formula>
      <formula>0.01</formula>
    </cfRule>
  </conditionalFormatting>
  <conditionalFormatting sqref="C20">
    <cfRule type="cellIs" dxfId="307" priority="208" operator="equal">
      <formula>4</formula>
    </cfRule>
    <cfRule type="cellIs" dxfId="306" priority="209" operator="equal">
      <formula>3</formula>
    </cfRule>
    <cfRule type="cellIs" dxfId="305" priority="210" operator="equal">
      <formula>2</formula>
    </cfRule>
    <cfRule type="cellIs" dxfId="304" priority="211" operator="equal">
      <formula>1</formula>
    </cfRule>
  </conditionalFormatting>
  <conditionalFormatting sqref="D20">
    <cfRule type="containsText" dxfId="303" priority="201" operator="containsText" text="G">
      <formula>NOT(ISERROR(SEARCH("G",D20)))</formula>
    </cfRule>
    <cfRule type="containsText" dxfId="302" priority="202" operator="containsText" text="F">
      <formula>NOT(ISERROR(SEARCH("F",D20)))</formula>
    </cfRule>
    <cfRule type="containsText" dxfId="301" priority="203" operator="containsText" text="E">
      <formula>NOT(ISERROR(SEARCH("E",D20)))</formula>
    </cfRule>
    <cfRule type="containsText" dxfId="300" priority="204" operator="containsText" text="D">
      <formula>NOT(ISERROR(SEARCH("D",D20)))</formula>
    </cfRule>
    <cfRule type="containsText" dxfId="299" priority="205" operator="containsText" text="C">
      <formula>NOT(ISERROR(SEARCH("C",D20)))</formula>
    </cfRule>
    <cfRule type="containsText" dxfId="298" priority="206" operator="containsText" text="B">
      <formula>NOT(ISERROR(SEARCH("B",D20)))</formula>
    </cfRule>
    <cfRule type="containsText" dxfId="297" priority="207" operator="containsText" text="A">
      <formula>NOT(ISERROR(SEARCH("A",D20)))</formula>
    </cfRule>
  </conditionalFormatting>
  <conditionalFormatting sqref="C29">
    <cfRule type="cellIs" dxfId="296" priority="178" operator="equal">
      <formula>4</formula>
    </cfRule>
    <cfRule type="cellIs" dxfId="295" priority="179" operator="equal">
      <formula>3</formula>
    </cfRule>
    <cfRule type="cellIs" dxfId="294" priority="180" operator="equal">
      <formula>2</formula>
    </cfRule>
    <cfRule type="cellIs" dxfId="293" priority="181" operator="equal">
      <formula>1</formula>
    </cfRule>
  </conditionalFormatting>
  <conditionalFormatting sqref="D29">
    <cfRule type="containsText" dxfId="292" priority="182" operator="containsText" text="G">
      <formula>NOT(ISERROR(SEARCH("G",D29)))</formula>
    </cfRule>
    <cfRule type="containsText" dxfId="291" priority="183" operator="containsText" text="F">
      <formula>NOT(ISERROR(SEARCH("F",D29)))</formula>
    </cfRule>
    <cfRule type="containsText" dxfId="290" priority="184" operator="containsText" text="E">
      <formula>NOT(ISERROR(SEARCH("E",D29)))</formula>
    </cfRule>
    <cfRule type="containsText" dxfId="289" priority="185" operator="containsText" text="D">
      <formula>NOT(ISERROR(SEARCH("D",D29)))</formula>
    </cfRule>
    <cfRule type="containsText" dxfId="288" priority="186" operator="containsText" text="C">
      <formula>NOT(ISERROR(SEARCH("C",D29)))</formula>
    </cfRule>
    <cfRule type="containsText" dxfId="287" priority="187" operator="containsText" text="B">
      <formula>NOT(ISERROR(SEARCH("B",D29)))</formula>
    </cfRule>
    <cfRule type="containsText" dxfId="286" priority="188" operator="containsText" text="A">
      <formula>NOT(ISERROR(SEARCH("A",D29)))</formula>
    </cfRule>
  </conditionalFormatting>
  <conditionalFormatting sqref="C38">
    <cfRule type="cellIs" dxfId="285" priority="174" operator="equal">
      <formula>4</formula>
    </cfRule>
    <cfRule type="cellIs" dxfId="284" priority="175" operator="equal">
      <formula>3</formula>
    </cfRule>
    <cfRule type="cellIs" dxfId="283" priority="176" operator="equal">
      <formula>2</formula>
    </cfRule>
    <cfRule type="cellIs" dxfId="282" priority="177" operator="equal">
      <formula>1</formula>
    </cfRule>
  </conditionalFormatting>
  <conditionalFormatting sqref="C10">
    <cfRule type="cellIs" dxfId="281" priority="159" operator="equal">
      <formula>4</formula>
    </cfRule>
    <cfRule type="cellIs" dxfId="280" priority="160" operator="equal">
      <formula>3</formula>
    </cfRule>
    <cfRule type="cellIs" dxfId="279" priority="161" operator="equal">
      <formula>2</formula>
    </cfRule>
    <cfRule type="cellIs" dxfId="278" priority="162" operator="equal">
      <formula>1</formula>
    </cfRule>
  </conditionalFormatting>
  <conditionalFormatting sqref="D10">
    <cfRule type="containsText" dxfId="277" priority="152" operator="containsText" text="G">
      <formula>NOT(ISERROR(SEARCH("G",D10)))</formula>
    </cfRule>
    <cfRule type="containsText" dxfId="276" priority="153" operator="containsText" text="F">
      <formula>NOT(ISERROR(SEARCH("F",D10)))</formula>
    </cfRule>
    <cfRule type="containsText" dxfId="275" priority="154" operator="containsText" text="E">
      <formula>NOT(ISERROR(SEARCH("E",D10)))</formula>
    </cfRule>
    <cfRule type="containsText" dxfId="274" priority="155" operator="containsText" text="D">
      <formula>NOT(ISERROR(SEARCH("D",D10)))</formula>
    </cfRule>
    <cfRule type="containsText" dxfId="273" priority="156" operator="containsText" text="C">
      <formula>NOT(ISERROR(SEARCH("C",D10)))</formula>
    </cfRule>
    <cfRule type="containsText" dxfId="272" priority="157" operator="containsText" text="B">
      <formula>NOT(ISERROR(SEARCH("B",D10)))</formula>
    </cfRule>
    <cfRule type="containsText" dxfId="271" priority="158" operator="containsText" text="A">
      <formula>NOT(ISERROR(SEARCH("A",D10)))</formula>
    </cfRule>
  </conditionalFormatting>
  <conditionalFormatting sqref="C11">
    <cfRule type="cellIs" dxfId="270" priority="136" operator="equal">
      <formula>4</formula>
    </cfRule>
    <cfRule type="cellIs" dxfId="269" priority="137" operator="equal">
      <formula>3</formula>
    </cfRule>
    <cfRule type="cellIs" dxfId="268" priority="138" operator="equal">
      <formula>2</formula>
    </cfRule>
    <cfRule type="cellIs" dxfId="267" priority="139" operator="equal">
      <formula>1</formula>
    </cfRule>
  </conditionalFormatting>
  <conditionalFormatting sqref="D11">
    <cfRule type="containsText" dxfId="266" priority="129" operator="containsText" text="G">
      <formula>NOT(ISERROR(SEARCH("G",D11)))</formula>
    </cfRule>
    <cfRule type="containsText" dxfId="265" priority="130" operator="containsText" text="F">
      <formula>NOT(ISERROR(SEARCH("F",D11)))</formula>
    </cfRule>
    <cfRule type="containsText" dxfId="264" priority="131" operator="containsText" text="E">
      <formula>NOT(ISERROR(SEARCH("E",D11)))</formula>
    </cfRule>
    <cfRule type="containsText" dxfId="263" priority="132" operator="containsText" text="D">
      <formula>NOT(ISERROR(SEARCH("D",D11)))</formula>
    </cfRule>
    <cfRule type="containsText" dxfId="262" priority="133" operator="containsText" text="C">
      <formula>NOT(ISERROR(SEARCH("C",D11)))</formula>
    </cfRule>
    <cfRule type="containsText" dxfId="261" priority="134" operator="containsText" text="B">
      <formula>NOT(ISERROR(SEARCH("B",D11)))</formula>
    </cfRule>
    <cfRule type="containsText" dxfId="260" priority="135" operator="containsText" text="A">
      <formula>NOT(ISERROR(SEARCH("A",D11)))</formula>
    </cfRule>
  </conditionalFormatting>
  <conditionalFormatting sqref="A17">
    <cfRule type="expression" dxfId="259" priority="128">
      <formula>G:G&gt;=80</formula>
    </cfRule>
  </conditionalFormatting>
  <conditionalFormatting sqref="C17">
    <cfRule type="cellIs" dxfId="258" priority="124" operator="equal">
      <formula>4</formula>
    </cfRule>
    <cfRule type="cellIs" dxfId="257" priority="125" operator="equal">
      <formula>3</formula>
    </cfRule>
    <cfRule type="cellIs" dxfId="256" priority="126" operator="equal">
      <formula>2</formula>
    </cfRule>
    <cfRule type="cellIs" dxfId="255" priority="127" operator="equal">
      <formula>1</formula>
    </cfRule>
  </conditionalFormatting>
  <conditionalFormatting sqref="D17">
    <cfRule type="containsText" dxfId="254" priority="117" operator="containsText" text="G">
      <formula>NOT(ISERROR(SEARCH("G",D17)))</formula>
    </cfRule>
    <cfRule type="containsText" dxfId="253" priority="118" operator="containsText" text="F">
      <formula>NOT(ISERROR(SEARCH("F",D17)))</formula>
    </cfRule>
    <cfRule type="containsText" dxfId="252" priority="119" operator="containsText" text="E">
      <formula>NOT(ISERROR(SEARCH("E",D17)))</formula>
    </cfRule>
    <cfRule type="containsText" dxfId="251" priority="120" operator="containsText" text="D">
      <formula>NOT(ISERROR(SEARCH("D",D17)))</formula>
    </cfRule>
    <cfRule type="containsText" dxfId="250" priority="121" operator="containsText" text="C">
      <formula>NOT(ISERROR(SEARCH("C",D17)))</formula>
    </cfRule>
    <cfRule type="containsText" dxfId="249" priority="122" operator="containsText" text="B">
      <formula>NOT(ISERROR(SEARCH("B",D17)))</formula>
    </cfRule>
    <cfRule type="containsText" dxfId="248" priority="123" operator="containsText" text="A">
      <formula>NOT(ISERROR(SEARCH("A",D17)))</formula>
    </cfRule>
  </conditionalFormatting>
  <conditionalFormatting sqref="C39">
    <cfRule type="cellIs" dxfId="247" priority="113" operator="equal">
      <formula>4</formula>
    </cfRule>
    <cfRule type="cellIs" dxfId="246" priority="114" operator="equal">
      <formula>3</formula>
    </cfRule>
    <cfRule type="cellIs" dxfId="245" priority="115" operator="equal">
      <formula>2</formula>
    </cfRule>
    <cfRule type="cellIs" dxfId="244" priority="116" operator="equal">
      <formula>1</formula>
    </cfRule>
  </conditionalFormatting>
  <conditionalFormatting sqref="C9">
    <cfRule type="cellIs" dxfId="243" priority="109" operator="equal">
      <formula>4</formula>
    </cfRule>
    <cfRule type="cellIs" dxfId="242" priority="110" operator="equal">
      <formula>3</formula>
    </cfRule>
    <cfRule type="cellIs" dxfId="241" priority="111" operator="equal">
      <formula>2</formula>
    </cfRule>
    <cfRule type="cellIs" dxfId="240" priority="112" operator="equal">
      <formula>1</formula>
    </cfRule>
  </conditionalFormatting>
  <conditionalFormatting sqref="D9">
    <cfRule type="containsText" dxfId="239" priority="102" operator="containsText" text="G">
      <formula>NOT(ISERROR(SEARCH("G",D9)))</formula>
    </cfRule>
    <cfRule type="containsText" dxfId="238" priority="103" operator="containsText" text="F">
      <formula>NOT(ISERROR(SEARCH("F",D9)))</formula>
    </cfRule>
    <cfRule type="containsText" dxfId="237" priority="104" operator="containsText" text="E">
      <formula>NOT(ISERROR(SEARCH("E",D9)))</formula>
    </cfRule>
    <cfRule type="containsText" dxfId="236" priority="105" operator="containsText" text="D">
      <formula>NOT(ISERROR(SEARCH("D",D9)))</formula>
    </cfRule>
    <cfRule type="containsText" dxfId="235" priority="106" operator="containsText" text="C">
      <formula>NOT(ISERROR(SEARCH("C",D9)))</formula>
    </cfRule>
    <cfRule type="containsText" dxfId="234" priority="107" operator="containsText" text="B">
      <formula>NOT(ISERROR(SEARCH("B",D9)))</formula>
    </cfRule>
    <cfRule type="containsText" dxfId="233" priority="108" operator="containsText" text="A">
      <formula>NOT(ISERROR(SEARCH("A",D9)))</formula>
    </cfRule>
  </conditionalFormatting>
  <conditionalFormatting sqref="A43">
    <cfRule type="expression" dxfId="232" priority="101">
      <formula>Z:Z&gt;=80</formula>
    </cfRule>
  </conditionalFormatting>
  <conditionalFormatting sqref="C43">
    <cfRule type="cellIs" dxfId="231" priority="97" operator="equal">
      <formula>4</formula>
    </cfRule>
    <cfRule type="cellIs" dxfId="230" priority="98" operator="equal">
      <formula>3</formula>
    </cfRule>
    <cfRule type="cellIs" dxfId="229" priority="99" operator="equal">
      <formula>2</formula>
    </cfRule>
    <cfRule type="cellIs" dxfId="228" priority="100" operator="equal">
      <formula>1</formula>
    </cfRule>
  </conditionalFormatting>
  <conditionalFormatting sqref="D43">
    <cfRule type="containsText" dxfId="227" priority="90" operator="containsText" text="G">
      <formula>NOT(ISERROR(SEARCH("G",D43)))</formula>
    </cfRule>
    <cfRule type="containsText" dxfId="226" priority="91" operator="containsText" text="F">
      <formula>NOT(ISERROR(SEARCH("F",D43)))</formula>
    </cfRule>
    <cfRule type="containsText" dxfId="225" priority="92" operator="containsText" text="E">
      <formula>NOT(ISERROR(SEARCH("E",D43)))</formula>
    </cfRule>
    <cfRule type="containsText" dxfId="224" priority="93" operator="containsText" text="D">
      <formula>NOT(ISERROR(SEARCH("D",D43)))</formula>
    </cfRule>
    <cfRule type="containsText" dxfId="223" priority="94" operator="containsText" text="C">
      <formula>NOT(ISERROR(SEARCH("C",D43)))</formula>
    </cfRule>
    <cfRule type="containsText" dxfId="222" priority="95" operator="containsText" text="B">
      <formula>NOT(ISERROR(SEARCH("B",D43)))</formula>
    </cfRule>
    <cfRule type="containsText" dxfId="221" priority="96" operator="containsText" text="A">
      <formula>NOT(ISERROR(SEARCH("A",D43)))</formula>
    </cfRule>
  </conditionalFormatting>
  <conditionalFormatting sqref="C47">
    <cfRule type="cellIs" dxfId="220" priority="46" operator="equal">
      <formula>4</formula>
    </cfRule>
    <cfRule type="cellIs" dxfId="219" priority="47" operator="equal">
      <formula>3</formula>
    </cfRule>
    <cfRule type="cellIs" dxfId="218" priority="48" operator="equal">
      <formula>2</formula>
    </cfRule>
    <cfRule type="cellIs" dxfId="217" priority="49" operator="equal">
      <formula>1</formula>
    </cfRule>
  </conditionalFormatting>
  <conditionalFormatting sqref="D47">
    <cfRule type="containsText" dxfId="216" priority="50" operator="containsText" text="G">
      <formula>NOT(ISERROR(SEARCH("G",D47)))</formula>
    </cfRule>
    <cfRule type="containsText" dxfId="215" priority="51" operator="containsText" text="F">
      <formula>NOT(ISERROR(SEARCH("F",D47)))</formula>
    </cfRule>
    <cfRule type="containsText" dxfId="214" priority="52" operator="containsText" text="E">
      <formula>NOT(ISERROR(SEARCH("E",D47)))</formula>
    </cfRule>
    <cfRule type="containsText" dxfId="213" priority="53" operator="containsText" text="D">
      <formula>NOT(ISERROR(SEARCH("D",D47)))</formula>
    </cfRule>
    <cfRule type="containsText" dxfId="212" priority="54" operator="containsText" text="C">
      <formula>NOT(ISERROR(SEARCH("C",D47)))</formula>
    </cfRule>
    <cfRule type="containsText" dxfId="211" priority="55" operator="containsText" text="B">
      <formula>NOT(ISERROR(SEARCH("B",D47)))</formula>
    </cfRule>
    <cfRule type="containsText" dxfId="210" priority="56" operator="containsText" text="A">
      <formula>NOT(ISERROR(SEARCH("A",D47)))</formula>
    </cfRule>
  </conditionalFormatting>
  <conditionalFormatting sqref="C48">
    <cfRule type="cellIs" dxfId="209" priority="42" operator="equal">
      <formula>4</formula>
    </cfRule>
    <cfRule type="cellIs" dxfId="208" priority="43" operator="equal">
      <formula>3</formula>
    </cfRule>
    <cfRule type="cellIs" dxfId="207" priority="44" operator="equal">
      <formula>2</formula>
    </cfRule>
    <cfRule type="cellIs" dxfId="206" priority="45" operator="equal">
      <formula>1</formula>
    </cfRule>
  </conditionalFormatting>
  <conditionalFormatting sqref="D48">
    <cfRule type="containsText" dxfId="205" priority="35" operator="containsText" text="G">
      <formula>NOT(ISERROR(SEARCH("G",D48)))</formula>
    </cfRule>
    <cfRule type="containsText" dxfId="204" priority="36" operator="containsText" text="F">
      <formula>NOT(ISERROR(SEARCH("F",D48)))</formula>
    </cfRule>
    <cfRule type="containsText" dxfId="203" priority="37" operator="containsText" text="E">
      <formula>NOT(ISERROR(SEARCH("E",D48)))</formula>
    </cfRule>
    <cfRule type="containsText" dxfId="202" priority="38" operator="containsText" text="D">
      <formula>NOT(ISERROR(SEARCH("D",D48)))</formula>
    </cfRule>
    <cfRule type="containsText" dxfId="201" priority="39" operator="containsText" text="C">
      <formula>NOT(ISERROR(SEARCH("C",D48)))</formula>
    </cfRule>
    <cfRule type="containsText" dxfId="200" priority="40" operator="containsText" text="B">
      <formula>NOT(ISERROR(SEARCH("B",D48)))</formula>
    </cfRule>
    <cfRule type="containsText" dxfId="199" priority="41" operator="containsText" text="A">
      <formula>NOT(ISERROR(SEARCH("A",D48)))</formula>
    </cfRule>
  </conditionalFormatting>
  <conditionalFormatting sqref="C49">
    <cfRule type="cellIs" dxfId="198" priority="31" operator="equal">
      <formula>4</formula>
    </cfRule>
    <cfRule type="cellIs" dxfId="197" priority="32" operator="equal">
      <formula>3</formula>
    </cfRule>
    <cfRule type="cellIs" dxfId="196" priority="33" operator="equal">
      <formula>2</formula>
    </cfRule>
    <cfRule type="cellIs" dxfId="195" priority="34" operator="equal">
      <formula>1</formula>
    </cfRule>
  </conditionalFormatting>
  <conditionalFormatting sqref="D49">
    <cfRule type="containsText" dxfId="194" priority="24" operator="containsText" text="G">
      <formula>NOT(ISERROR(SEARCH("G",D49)))</formula>
    </cfRule>
    <cfRule type="containsText" dxfId="193" priority="25" operator="containsText" text="F">
      <formula>NOT(ISERROR(SEARCH("F",D49)))</formula>
    </cfRule>
    <cfRule type="containsText" dxfId="192" priority="26" operator="containsText" text="E">
      <formula>NOT(ISERROR(SEARCH("E",D49)))</formula>
    </cfRule>
    <cfRule type="containsText" dxfId="191" priority="27" operator="containsText" text="D">
      <formula>NOT(ISERROR(SEARCH("D",D49)))</formula>
    </cfRule>
    <cfRule type="containsText" dxfId="190" priority="28" operator="containsText" text="C">
      <formula>NOT(ISERROR(SEARCH("C",D49)))</formula>
    </cfRule>
    <cfRule type="containsText" dxfId="189" priority="29" operator="containsText" text="B">
      <formula>NOT(ISERROR(SEARCH("B",D49)))</formula>
    </cfRule>
    <cfRule type="containsText" dxfId="188" priority="30" operator="containsText" text="A">
      <formula>NOT(ISERROR(SEARCH("A",D49)))</formula>
    </cfRule>
  </conditionalFormatting>
  <conditionalFormatting sqref="C45:C46">
    <cfRule type="cellIs" dxfId="187" priority="20" operator="equal">
      <formula>4</formula>
    </cfRule>
    <cfRule type="cellIs" dxfId="186" priority="21" operator="equal">
      <formula>3</formula>
    </cfRule>
    <cfRule type="cellIs" dxfId="185" priority="22" operator="equal">
      <formula>2</formula>
    </cfRule>
    <cfRule type="cellIs" dxfId="184" priority="23" operator="equal">
      <formula>1</formula>
    </cfRule>
  </conditionalFormatting>
  <conditionalFormatting sqref="D45:D46">
    <cfRule type="containsText" dxfId="183" priority="13" operator="containsText" text="G">
      <formula>NOT(ISERROR(SEARCH("G",D45)))</formula>
    </cfRule>
    <cfRule type="containsText" dxfId="182" priority="14" operator="containsText" text="F">
      <formula>NOT(ISERROR(SEARCH("F",D45)))</formula>
    </cfRule>
    <cfRule type="containsText" dxfId="181" priority="15" operator="containsText" text="E">
      <formula>NOT(ISERROR(SEARCH("E",D45)))</formula>
    </cfRule>
    <cfRule type="containsText" dxfId="180" priority="16" operator="containsText" text="D">
      <formula>NOT(ISERROR(SEARCH("D",D45)))</formula>
    </cfRule>
    <cfRule type="containsText" dxfId="179" priority="17" operator="containsText" text="C">
      <formula>NOT(ISERROR(SEARCH("C",D45)))</formula>
    </cfRule>
    <cfRule type="containsText" dxfId="178" priority="18" operator="containsText" text="B">
      <formula>NOT(ISERROR(SEARCH("B",D45)))</formula>
    </cfRule>
    <cfRule type="containsText" dxfId="177" priority="19" operator="containsText" text="A">
      <formula>NOT(ISERROR(SEARCH("A",D45)))</formula>
    </cfRule>
  </conditionalFormatting>
  <conditionalFormatting sqref="C44">
    <cfRule type="cellIs" dxfId="176" priority="1" operator="equal">
      <formula>4</formula>
    </cfRule>
    <cfRule type="cellIs" dxfId="175" priority="2" operator="equal">
      <formula>3</formula>
    </cfRule>
    <cfRule type="cellIs" dxfId="174" priority="3" operator="equal">
      <formula>2</formula>
    </cfRule>
    <cfRule type="cellIs" dxfId="173" priority="4" operator="equal">
      <formula>1</formula>
    </cfRule>
  </conditionalFormatting>
  <conditionalFormatting sqref="D44">
    <cfRule type="containsText" dxfId="172" priority="5" operator="containsText" text="G">
      <formula>NOT(ISERROR(SEARCH("G",D44)))</formula>
    </cfRule>
    <cfRule type="containsText" dxfId="171" priority="6" operator="containsText" text="F">
      <formula>NOT(ISERROR(SEARCH("F",D44)))</formula>
    </cfRule>
    <cfRule type="containsText" dxfId="170" priority="7" operator="containsText" text="E">
      <formula>NOT(ISERROR(SEARCH("E",D44)))</formula>
    </cfRule>
    <cfRule type="containsText" dxfId="169" priority="8" operator="containsText" text="D">
      <formula>NOT(ISERROR(SEARCH("D",D44)))</formula>
    </cfRule>
    <cfRule type="containsText" dxfId="168" priority="9" operator="containsText" text="C">
      <formula>NOT(ISERROR(SEARCH("C",D44)))</formula>
    </cfRule>
    <cfRule type="containsText" dxfId="167" priority="10" operator="containsText" text="B">
      <formula>NOT(ISERROR(SEARCH("B",D44)))</formula>
    </cfRule>
    <cfRule type="containsText" dxfId="166" priority="11" operator="containsText" text="A">
      <formula>NOT(ISERROR(SEARCH("A",D44)))</formula>
    </cfRule>
  </conditionalFormatting>
  <printOptions horizontalCentered="1" verticalCentered="1"/>
  <pageMargins left="1" right="0.7" top="0.25" bottom="0.25" header="0" footer="0"/>
  <pageSetup scale="75" fitToWidth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100"/>
  <sheetViews>
    <sheetView workbookViewId="0">
      <selection activeCell="A41" sqref="A41"/>
    </sheetView>
  </sheetViews>
  <sheetFormatPr defaultColWidth="14.42578125" defaultRowHeight="15" customHeight="1"/>
  <cols>
    <col min="1" max="1" width="23.140625" bestFit="1" customWidth="1"/>
    <col min="2" max="2" width="12" customWidth="1"/>
    <col min="3" max="4" width="8.85546875" customWidth="1"/>
    <col min="5" max="6" width="10.28515625" customWidth="1"/>
    <col min="7" max="7" width="13" customWidth="1"/>
    <col min="8" max="8" width="11.42578125" hidden="1" customWidth="1"/>
    <col min="9" max="9" width="11.42578125" customWidth="1"/>
  </cols>
  <sheetData>
    <row r="1" spans="1:9" ht="35.25">
      <c r="A1" s="269" t="s">
        <v>201</v>
      </c>
      <c r="B1" s="270"/>
      <c r="C1" s="83" t="s">
        <v>202</v>
      </c>
      <c r="D1" s="9" t="s">
        <v>35</v>
      </c>
      <c r="E1" s="10">
        <f>G3+G15+G26+F40+G43+G54</f>
        <v>87.799999999999983</v>
      </c>
      <c r="F1" s="11" t="s">
        <v>36</v>
      </c>
      <c r="G1" s="50">
        <f>G5+G17+G28+G40+G45+G56</f>
        <v>78.999999999999986</v>
      </c>
      <c r="H1" s="182">
        <f>(H4+H5+H6+H7+H8+H9+H10+H11+H16+H17+H18+H19+H20+H21+H22+H23+H27+H28+H29+H30+H31+H32+H33+H34+H39+H40+H44+H45+H46+H47+H48+H49+H50+H51+H55+H56+H57+H58+H59+H60+H61+H62)/42</f>
        <v>0.80952380952380953</v>
      </c>
      <c r="I1" s="153"/>
    </row>
    <row r="2" spans="1:9" ht="20.25">
      <c r="A2" s="271" t="s">
        <v>2</v>
      </c>
      <c r="B2" s="272"/>
      <c r="C2" s="273" t="str">
        <f>A1</f>
        <v>DIEGO</v>
      </c>
      <c r="D2" s="272"/>
      <c r="E2" s="270"/>
      <c r="F2" s="14" t="s">
        <v>37</v>
      </c>
      <c r="G2" s="15" t="s">
        <v>38</v>
      </c>
      <c r="H2" s="286" t="s">
        <v>39</v>
      </c>
      <c r="I2" s="16"/>
    </row>
    <row r="3" spans="1:9" ht="26.25">
      <c r="A3" s="109" t="s">
        <v>0</v>
      </c>
      <c r="B3" s="110" t="s">
        <v>40</v>
      </c>
      <c r="C3" s="111" t="s">
        <v>41</v>
      </c>
      <c r="D3" s="112" t="s">
        <v>42</v>
      </c>
      <c r="E3" s="113" t="s">
        <v>43</v>
      </c>
      <c r="F3" s="17">
        <f>SUM(E4:E12)</f>
        <v>3</v>
      </c>
      <c r="G3" s="18">
        <f>10+F3+F5+F11</f>
        <v>15</v>
      </c>
      <c r="H3" s="275"/>
      <c r="I3" s="16"/>
    </row>
    <row r="4" spans="1:9" ht="15.75">
      <c r="A4" s="91" t="s">
        <v>203</v>
      </c>
      <c r="B4" s="93">
        <v>5</v>
      </c>
      <c r="C4" s="35">
        <v>3</v>
      </c>
      <c r="D4" s="173" t="s">
        <v>204</v>
      </c>
      <c r="E4" s="172">
        <f>IF(D4="F",0.6,IF(D4="C",0.3,IF(D4="D",0.4,IF(D4="E",0.5,IF(D4="A",0.1,IF(D4="G",0.7,IF(D4="H",0.8,IF(D4="B",0.2,""))))))))</f>
        <v>0.5</v>
      </c>
      <c r="F4" s="20" t="s">
        <v>48</v>
      </c>
      <c r="G4" s="21" t="s">
        <v>49</v>
      </c>
      <c r="H4" s="22">
        <v>0.8</v>
      </c>
      <c r="I4" s="16"/>
    </row>
    <row r="5" spans="1:9">
      <c r="A5" s="91" t="s">
        <v>161</v>
      </c>
      <c r="B5" s="92">
        <v>3</v>
      </c>
      <c r="C5" s="25">
        <v>4</v>
      </c>
      <c r="D5" s="107" t="s">
        <v>100</v>
      </c>
      <c r="E5" s="172">
        <f t="shared" ref="E5:E11" si="0">IF(D5="F",0.6,IF(D5="C",0.3,IF(D5="D",0.4,IF(D5="E",0.5,IF(D5="A",0.1,IF(D5="G",0.7,IF(D5="H",0.8,IF(D5="B",0.2,""))))))))</f>
        <v>0.3</v>
      </c>
      <c r="F5" s="26">
        <v>2</v>
      </c>
      <c r="G5" s="27">
        <f>G3-1.5</f>
        <v>13.5</v>
      </c>
      <c r="H5" s="22">
        <v>0.85</v>
      </c>
      <c r="I5" s="16"/>
    </row>
    <row r="6" spans="1:9">
      <c r="A6" s="91" t="s">
        <v>169</v>
      </c>
      <c r="B6" s="93">
        <v>16</v>
      </c>
      <c r="C6" s="30">
        <v>2</v>
      </c>
      <c r="D6" s="140" t="s">
        <v>119</v>
      </c>
      <c r="E6" s="172">
        <f t="shared" si="0"/>
        <v>0.4</v>
      </c>
      <c r="G6" s="31"/>
      <c r="H6" s="22">
        <v>0.7</v>
      </c>
      <c r="I6" s="16"/>
    </row>
    <row r="7" spans="1:9" ht="15.75">
      <c r="A7" s="23" t="s">
        <v>151</v>
      </c>
      <c r="B7" s="29">
        <v>9</v>
      </c>
      <c r="C7" s="25">
        <v>4</v>
      </c>
      <c r="D7" s="140" t="s">
        <v>100</v>
      </c>
      <c r="E7" s="172">
        <f>IF(D7="F",0.6,IF(D7="C",0.3,IF(D7="D",0.4,IF(D7="E",0.5,IF(D7="A",0.1,IF(D7="G",0.7,IF(D7="H",0.8,IF(D7="B",0.2,""))))))))</f>
        <v>0.3</v>
      </c>
      <c r="H7" s="22">
        <v>0.75</v>
      </c>
      <c r="I7" s="16"/>
    </row>
    <row r="8" spans="1:9">
      <c r="A8" s="91" t="s">
        <v>205</v>
      </c>
      <c r="B8" s="93">
        <v>45</v>
      </c>
      <c r="C8" s="34">
        <v>1</v>
      </c>
      <c r="D8" s="107" t="s">
        <v>100</v>
      </c>
      <c r="E8" s="172">
        <f t="shared" si="0"/>
        <v>0.3</v>
      </c>
      <c r="F8" s="31"/>
      <c r="G8" s="31"/>
      <c r="H8" s="22">
        <v>0.9</v>
      </c>
      <c r="I8" s="16"/>
    </row>
    <row r="9" spans="1:9">
      <c r="A9" s="91" t="s">
        <v>182</v>
      </c>
      <c r="B9" s="93">
        <v>105</v>
      </c>
      <c r="C9" s="35">
        <v>1</v>
      </c>
      <c r="D9" s="173" t="s">
        <v>100</v>
      </c>
      <c r="E9" s="172">
        <f t="shared" si="0"/>
        <v>0.3</v>
      </c>
      <c r="F9" s="31"/>
      <c r="G9" s="31"/>
      <c r="H9" s="22">
        <v>0.85</v>
      </c>
      <c r="I9" s="16"/>
    </row>
    <row r="10" spans="1:9" ht="15.75">
      <c r="A10" s="91" t="s">
        <v>185</v>
      </c>
      <c r="B10" s="92">
        <v>22</v>
      </c>
      <c r="C10" s="25">
        <v>4</v>
      </c>
      <c r="D10" s="140" t="s">
        <v>119</v>
      </c>
      <c r="E10" s="172">
        <f t="shared" si="0"/>
        <v>0.4</v>
      </c>
      <c r="F10" s="33" t="s">
        <v>56</v>
      </c>
      <c r="G10" s="31"/>
      <c r="H10" s="22">
        <v>0.9</v>
      </c>
      <c r="I10" s="16"/>
    </row>
    <row r="11" spans="1:9">
      <c r="A11" s="91" t="s">
        <v>170</v>
      </c>
      <c r="B11" s="93">
        <v>4</v>
      </c>
      <c r="C11" s="35">
        <v>3</v>
      </c>
      <c r="D11" s="140" t="s">
        <v>119</v>
      </c>
      <c r="E11" s="172">
        <f t="shared" si="0"/>
        <v>0.4</v>
      </c>
      <c r="F11" s="36"/>
      <c r="G11" s="31"/>
      <c r="H11" s="22">
        <v>0.8</v>
      </c>
      <c r="I11" s="16"/>
    </row>
    <row r="12" spans="1:9">
      <c r="B12" s="74"/>
      <c r="D12" s="38" t="s">
        <v>174</v>
      </c>
      <c r="E12" s="39">
        <v>0.1</v>
      </c>
      <c r="G12" s="31"/>
      <c r="H12" s="22"/>
      <c r="I12" s="16"/>
    </row>
    <row r="13" spans="1:9" ht="20.25">
      <c r="A13" s="81"/>
      <c r="B13" s="82"/>
      <c r="C13" s="81"/>
      <c r="D13" s="142"/>
      <c r="E13" s="143"/>
      <c r="F13" s="31"/>
      <c r="G13" s="31"/>
      <c r="H13" s="144"/>
      <c r="I13" s="16"/>
    </row>
    <row r="14" spans="1:9" ht="20.25">
      <c r="A14" s="271" t="s">
        <v>58</v>
      </c>
      <c r="B14" s="272"/>
      <c r="C14" s="273" t="str">
        <f>A1</f>
        <v>DIEGO</v>
      </c>
      <c r="D14" s="272"/>
      <c r="E14" s="270"/>
      <c r="F14" s="14" t="s">
        <v>37</v>
      </c>
      <c r="G14" s="15" t="s">
        <v>38</v>
      </c>
      <c r="H14" s="274" t="s">
        <v>39</v>
      </c>
      <c r="I14" s="16"/>
    </row>
    <row r="15" spans="1:9" ht="26.25">
      <c r="A15" s="109" t="s">
        <v>0</v>
      </c>
      <c r="B15" s="110" t="s">
        <v>40</v>
      </c>
      <c r="C15" s="111" t="s">
        <v>41</v>
      </c>
      <c r="D15" s="112" t="s">
        <v>42</v>
      </c>
      <c r="E15" s="113" t="s">
        <v>43</v>
      </c>
      <c r="F15" s="17">
        <f>SUM(E16:E24)+F19</f>
        <v>2.9000000000000004</v>
      </c>
      <c r="G15" s="18">
        <f>10+F15+F17+F23</f>
        <v>14.9</v>
      </c>
      <c r="H15" s="275"/>
      <c r="I15" s="16"/>
    </row>
    <row r="16" spans="1:9">
      <c r="A16" s="23" t="s">
        <v>62</v>
      </c>
      <c r="B16" s="29">
        <v>1</v>
      </c>
      <c r="C16" s="35">
        <v>1</v>
      </c>
      <c r="D16" s="171" t="s">
        <v>47</v>
      </c>
      <c r="E16" s="172">
        <f>IF(D16="F",0.6,IF(D16="C",0.3,IF(D16="D",0.4,IF(D16="E",0.5,IF(D16="A",0.1,IF(D16="G",0.7,IF(D16="H",0.8,IF(D16="B",0.2,""))))))))</f>
        <v>0.1</v>
      </c>
      <c r="F16" s="20" t="s">
        <v>48</v>
      </c>
      <c r="G16" s="21" t="s">
        <v>49</v>
      </c>
      <c r="H16" s="22">
        <v>0.95</v>
      </c>
      <c r="I16" s="16"/>
    </row>
    <row r="17" spans="1:9">
      <c r="A17" s="68" t="s">
        <v>206</v>
      </c>
      <c r="B17" s="89" t="s">
        <v>207</v>
      </c>
      <c r="C17" s="25">
        <v>2</v>
      </c>
      <c r="D17" s="107" t="s">
        <v>204</v>
      </c>
      <c r="E17" s="172">
        <f t="shared" ref="E17:E23" si="1">IF(D17="F",0.6,IF(D17="C",0.3,IF(D17="D",0.4,IF(D17="E",0.5,IF(D17="A",0.1,IF(D17="G",0.7,IF(D17="H",0.8,IF(D17="B",0.2,""))))))))</f>
        <v>0.5</v>
      </c>
      <c r="F17" s="26">
        <v>2</v>
      </c>
      <c r="G17" s="27">
        <f>G15-1.5</f>
        <v>13.4</v>
      </c>
      <c r="H17" s="22">
        <v>0.8</v>
      </c>
      <c r="I17" s="16"/>
    </row>
    <row r="18" spans="1:9">
      <c r="A18" s="23" t="s">
        <v>208</v>
      </c>
      <c r="B18" s="89" t="s">
        <v>207</v>
      </c>
      <c r="C18" s="30">
        <v>2</v>
      </c>
      <c r="D18" s="140" t="s">
        <v>119</v>
      </c>
      <c r="E18" s="172">
        <f t="shared" si="1"/>
        <v>0.4</v>
      </c>
      <c r="G18" s="31"/>
      <c r="H18" s="22">
        <v>0.85</v>
      </c>
      <c r="I18" s="16"/>
    </row>
    <row r="19" spans="1:9" ht="15.75">
      <c r="A19" s="23" t="s">
        <v>209</v>
      </c>
      <c r="B19" s="29">
        <v>65</v>
      </c>
      <c r="C19" s="25">
        <v>3</v>
      </c>
      <c r="D19" s="140" t="s">
        <v>204</v>
      </c>
      <c r="E19" s="172">
        <f t="shared" si="1"/>
        <v>0.5</v>
      </c>
      <c r="G19" s="31"/>
      <c r="H19" s="22">
        <v>0.9</v>
      </c>
      <c r="I19" s="16"/>
    </row>
    <row r="20" spans="1:9" ht="15.75">
      <c r="A20" s="23" t="s">
        <v>210</v>
      </c>
      <c r="B20" s="29">
        <v>105</v>
      </c>
      <c r="C20" s="35">
        <v>2</v>
      </c>
      <c r="D20" s="173" t="s">
        <v>100</v>
      </c>
      <c r="E20" s="172">
        <f>IF(D20="F",0.6,IF(D20="C",0.3,IF(D20="D",0.4,IF(D20="E",0.5,IF(D20="A",0.1,IF(D20="G",0.7,IF(D20="H",0.8,IF(D20="B",0.2,""))))))))</f>
        <v>0.3</v>
      </c>
      <c r="F20" s="40"/>
      <c r="G20" s="31"/>
      <c r="H20" s="22">
        <v>0.85</v>
      </c>
      <c r="I20" s="16"/>
    </row>
    <row r="21" spans="1:9" ht="15.75" customHeight="1">
      <c r="A21" s="23" t="s">
        <v>118</v>
      </c>
      <c r="B21" s="29">
        <v>34</v>
      </c>
      <c r="C21" s="35">
        <v>3</v>
      </c>
      <c r="D21" s="171" t="s">
        <v>119</v>
      </c>
      <c r="E21" s="172">
        <f>IF(D21="F",0.6,IF(D21="C",0.3,IF(D21="D",0.4,IF(D21="E",0.5,IF(D21="A",0.1,IF(D21="G",0.7,IF(D21="H",0.8,IF(D21="B",0.2,""))))))))</f>
        <v>0.4</v>
      </c>
      <c r="G21" s="31"/>
      <c r="H21" s="22">
        <v>0.85</v>
      </c>
      <c r="I21" s="16"/>
    </row>
    <row r="22" spans="1:9" ht="15.75" customHeight="1">
      <c r="A22" s="23" t="s">
        <v>121</v>
      </c>
      <c r="B22" s="29">
        <v>26</v>
      </c>
      <c r="C22" s="35">
        <v>2</v>
      </c>
      <c r="D22" s="173" t="s">
        <v>51</v>
      </c>
      <c r="E22" s="172">
        <f>IF(D22="F",0.6,IF(D22="C",0.3,IF(D22="D",0.4,IF(D22="E",0.5,IF(D22="A",0.1,IF(D22="G",0.7,IF(D22="H",0.8,IF(D22="B",0.2,""))))))))</f>
        <v>0.2</v>
      </c>
      <c r="F22" s="33" t="s">
        <v>56</v>
      </c>
      <c r="G22" s="31"/>
      <c r="H22" s="22">
        <v>0.9</v>
      </c>
      <c r="I22" s="16"/>
    </row>
    <row r="23" spans="1:9" ht="15.75" customHeight="1">
      <c r="A23" s="23" t="s">
        <v>211</v>
      </c>
      <c r="B23" s="29">
        <v>5</v>
      </c>
      <c r="C23" s="35">
        <v>4</v>
      </c>
      <c r="D23" s="140" t="s">
        <v>204</v>
      </c>
      <c r="E23" s="172">
        <f t="shared" si="1"/>
        <v>0.5</v>
      </c>
      <c r="F23" s="36"/>
      <c r="G23" s="31"/>
      <c r="H23" s="22">
        <v>0.8</v>
      </c>
      <c r="I23" s="16"/>
    </row>
    <row r="24" spans="1:9" ht="15.75" customHeight="1">
      <c r="B24" s="74"/>
      <c r="G24" s="31"/>
      <c r="H24" s="41"/>
      <c r="I24" s="16"/>
    </row>
    <row r="25" spans="1:9" ht="15.75" customHeight="1">
      <c r="A25" s="271" t="s">
        <v>66</v>
      </c>
      <c r="B25" s="272"/>
      <c r="C25" s="273" t="str">
        <f>A1</f>
        <v>DIEGO</v>
      </c>
      <c r="D25" s="272"/>
      <c r="E25" s="270"/>
      <c r="F25" s="14" t="s">
        <v>37</v>
      </c>
      <c r="G25" s="15" t="s">
        <v>38</v>
      </c>
      <c r="H25" s="274" t="s">
        <v>39</v>
      </c>
      <c r="I25" s="16"/>
    </row>
    <row r="26" spans="1:9" ht="30.75" customHeight="1">
      <c r="A26" s="109" t="s">
        <v>0</v>
      </c>
      <c r="B26" s="110" t="s">
        <v>40</v>
      </c>
      <c r="C26" s="111" t="s">
        <v>41</v>
      </c>
      <c r="D26" s="112" t="s">
        <v>42</v>
      </c>
      <c r="E26" s="113" t="s">
        <v>43</v>
      </c>
      <c r="F26" s="17">
        <f>SUM(E27:E35)+F30</f>
        <v>2.7</v>
      </c>
      <c r="G26" s="18">
        <f>10+F26+F28+F34</f>
        <v>14.7</v>
      </c>
      <c r="H26" s="275"/>
      <c r="I26" s="16"/>
    </row>
    <row r="27" spans="1:9" ht="15.75" customHeight="1">
      <c r="A27" s="23" t="s">
        <v>212</v>
      </c>
      <c r="B27" s="29">
        <v>40</v>
      </c>
      <c r="C27" s="35">
        <v>3</v>
      </c>
      <c r="D27" s="171" t="s">
        <v>119</v>
      </c>
      <c r="E27" s="172">
        <f>IF(D27="F",0.6,IF(D27="C",0.3,IF(D27="D",0.4,IF(D27="E",0.5,IF(D27="A",0.1,IF(D27="G",0.7,IF(D27="H",0.8,IF(D27="B",0.2,""))))))))</f>
        <v>0.4</v>
      </c>
      <c r="F27" s="20" t="s">
        <v>48</v>
      </c>
      <c r="G27" s="21" t="s">
        <v>49</v>
      </c>
      <c r="H27" s="22">
        <v>0.75</v>
      </c>
      <c r="I27" s="16"/>
    </row>
    <row r="28" spans="1:9" ht="15.75" customHeight="1">
      <c r="A28" s="23" t="s">
        <v>213</v>
      </c>
      <c r="B28" s="29"/>
      <c r="C28" s="25">
        <v>2</v>
      </c>
      <c r="D28" s="107" t="s">
        <v>119</v>
      </c>
      <c r="E28" s="172">
        <f t="shared" ref="E28:E34" si="2">IF(D28="F",0.6,IF(D28="C",0.3,IF(D28="D",0.4,IF(D28="E",0.5,IF(D28="A",0.1,IF(D28="G",0.7,IF(D28="H",0.8,IF(D28="B",0.2,""))))))))</f>
        <v>0.4</v>
      </c>
      <c r="F28" s="26">
        <v>2</v>
      </c>
      <c r="G28" s="27">
        <f>G26-1.5</f>
        <v>13.2</v>
      </c>
      <c r="H28" s="22">
        <v>0.95</v>
      </c>
      <c r="I28" s="16"/>
    </row>
    <row r="29" spans="1:9" ht="15.75" customHeight="1">
      <c r="A29" s="23" t="s">
        <v>153</v>
      </c>
      <c r="B29" s="29">
        <v>8</v>
      </c>
      <c r="C29" s="25">
        <v>3</v>
      </c>
      <c r="D29" s="107" t="s">
        <v>51</v>
      </c>
      <c r="E29" s="172">
        <f t="shared" si="2"/>
        <v>0.2</v>
      </c>
      <c r="G29" s="31"/>
      <c r="H29" s="22">
        <v>0.7</v>
      </c>
      <c r="I29" s="16"/>
    </row>
    <row r="30" spans="1:9" ht="15.75" customHeight="1">
      <c r="A30" s="23" t="s">
        <v>124</v>
      </c>
      <c r="B30" s="29">
        <v>26</v>
      </c>
      <c r="C30" s="34">
        <v>2</v>
      </c>
      <c r="D30" s="107" t="s">
        <v>51</v>
      </c>
      <c r="E30" s="172">
        <f>IF(D30="F",0.6,IF(D30="C",0.3,IF(D30="D",0.4,IF(D30="E",0.5,IF(D30="A",0.1,IF(D30="G",0.7,IF(D30="H",0.8,IF(D30="B",0.2,""))))))))</f>
        <v>0.2</v>
      </c>
      <c r="G30" s="31"/>
      <c r="H30" s="22">
        <v>0.85</v>
      </c>
      <c r="I30" s="16"/>
    </row>
    <row r="31" spans="1:9" ht="15.75" customHeight="1">
      <c r="A31" s="23" t="s">
        <v>191</v>
      </c>
      <c r="B31" s="29">
        <v>45</v>
      </c>
      <c r="C31" s="25">
        <v>1</v>
      </c>
      <c r="D31" s="140" t="s">
        <v>100</v>
      </c>
      <c r="E31" s="172">
        <f>IF(D31="F",0.6,IF(D31="C",0.3,IF(D31="D",0.4,IF(D31="E",0.5,IF(D31="A",0.1,IF(D31="G",0.7,IF(D31="H",0.8,IF(D31="B",0.2,""))))))))</f>
        <v>0.3</v>
      </c>
      <c r="G31" s="31"/>
      <c r="H31" s="22">
        <v>0.85</v>
      </c>
      <c r="I31" s="16"/>
    </row>
    <row r="32" spans="1:9" ht="15.75" customHeight="1">
      <c r="A32" s="23" t="s">
        <v>214</v>
      </c>
      <c r="B32" s="29">
        <v>62</v>
      </c>
      <c r="C32" s="35">
        <v>1</v>
      </c>
      <c r="D32" s="173" t="s">
        <v>100</v>
      </c>
      <c r="E32" s="172">
        <f t="shared" si="2"/>
        <v>0.3</v>
      </c>
      <c r="G32" s="31"/>
      <c r="H32" s="22">
        <v>0.8</v>
      </c>
      <c r="I32" s="16"/>
    </row>
    <row r="33" spans="1:9" ht="15.75" customHeight="1">
      <c r="A33" s="23" t="s">
        <v>215</v>
      </c>
      <c r="B33" s="29">
        <v>75</v>
      </c>
      <c r="C33" s="35">
        <v>1</v>
      </c>
      <c r="D33" s="173" t="s">
        <v>100</v>
      </c>
      <c r="E33" s="172">
        <f t="shared" si="2"/>
        <v>0.3</v>
      </c>
      <c r="F33" s="33" t="s">
        <v>56</v>
      </c>
      <c r="G33" s="31"/>
      <c r="H33" s="22">
        <v>0.95</v>
      </c>
      <c r="I33" s="16"/>
    </row>
    <row r="34" spans="1:9" ht="15.75" customHeight="1">
      <c r="A34" s="23" t="s">
        <v>203</v>
      </c>
      <c r="B34" s="29">
        <v>46</v>
      </c>
      <c r="C34" s="35">
        <v>4</v>
      </c>
      <c r="D34" s="140" t="s">
        <v>204</v>
      </c>
      <c r="E34" s="172">
        <f t="shared" si="2"/>
        <v>0.5</v>
      </c>
      <c r="F34" s="36"/>
      <c r="G34" s="31"/>
      <c r="H34" s="22">
        <v>0.6</v>
      </c>
      <c r="I34" s="16"/>
    </row>
    <row r="35" spans="1:9" ht="15.75" customHeight="1">
      <c r="B35" s="74"/>
      <c r="D35" s="38" t="s">
        <v>174</v>
      </c>
      <c r="E35" s="39">
        <v>0.1</v>
      </c>
      <c r="G35" s="31"/>
      <c r="H35" s="41"/>
      <c r="I35" s="16"/>
    </row>
    <row r="36" spans="1:9" ht="15.75" customHeight="1">
      <c r="A36" s="81"/>
      <c r="B36" s="82"/>
      <c r="C36" s="81"/>
      <c r="D36" s="142"/>
      <c r="E36" s="31"/>
      <c r="G36" s="31"/>
      <c r="H36" s="84"/>
      <c r="I36" s="16"/>
    </row>
    <row r="37" spans="1:9" ht="15.75" customHeight="1">
      <c r="A37" s="271" t="s">
        <v>75</v>
      </c>
      <c r="B37" s="272"/>
      <c r="C37" s="273" t="str">
        <f>A1</f>
        <v>DIEGO</v>
      </c>
      <c r="D37" s="270"/>
      <c r="E37" s="31"/>
      <c r="G37" s="31"/>
      <c r="H37" s="276" t="s">
        <v>39</v>
      </c>
      <c r="I37" s="16"/>
    </row>
    <row r="38" spans="1:9" ht="15.75" customHeight="1">
      <c r="A38" s="114" t="s">
        <v>0</v>
      </c>
      <c r="B38" s="110" t="s">
        <v>40</v>
      </c>
      <c r="C38" s="116" t="s">
        <v>41</v>
      </c>
      <c r="D38" s="117" t="s">
        <v>42</v>
      </c>
      <c r="E38" s="31"/>
      <c r="G38" s="31"/>
      <c r="H38" s="277"/>
      <c r="I38" s="16"/>
    </row>
    <row r="39" spans="1:9" ht="15.75" customHeight="1">
      <c r="A39" s="23" t="s">
        <v>216</v>
      </c>
      <c r="B39" s="29">
        <v>127</v>
      </c>
      <c r="C39" s="35">
        <v>1</v>
      </c>
      <c r="D39" s="28">
        <v>4.4000000000000004</v>
      </c>
      <c r="E39" s="14" t="s">
        <v>37</v>
      </c>
      <c r="F39" s="15" t="s">
        <v>76</v>
      </c>
      <c r="G39" s="21" t="s">
        <v>49</v>
      </c>
      <c r="H39" s="22">
        <v>0.5</v>
      </c>
      <c r="I39" s="16"/>
    </row>
    <row r="40" spans="1:9" ht="15.75" customHeight="1">
      <c r="A40" s="23" t="s">
        <v>217</v>
      </c>
      <c r="B40" s="29">
        <v>314</v>
      </c>
      <c r="C40" s="35">
        <v>3</v>
      </c>
      <c r="D40" s="28">
        <v>3.2</v>
      </c>
      <c r="E40" s="17"/>
      <c r="F40" s="18">
        <f>(20+D39+D40)/2</f>
        <v>13.799999999999999</v>
      </c>
      <c r="G40" s="27">
        <f>F40-1.3</f>
        <v>12.499999999999998</v>
      </c>
      <c r="H40" s="22">
        <v>0.3</v>
      </c>
      <c r="I40" s="16"/>
    </row>
    <row r="41" spans="1:9" ht="15.75" customHeight="1">
      <c r="B41" s="74"/>
      <c r="G41" s="31"/>
      <c r="H41" s="41"/>
      <c r="I41" s="16"/>
    </row>
    <row r="42" spans="1:9" ht="15.75" customHeight="1">
      <c r="A42" s="271" t="s">
        <v>78</v>
      </c>
      <c r="B42" s="272"/>
      <c r="C42" s="273" t="str">
        <f>A1</f>
        <v>DIEGO</v>
      </c>
      <c r="D42" s="272"/>
      <c r="E42" s="270"/>
      <c r="F42" s="14" t="s">
        <v>37</v>
      </c>
      <c r="G42" s="15" t="s">
        <v>38</v>
      </c>
      <c r="H42" s="274" t="s">
        <v>39</v>
      </c>
      <c r="I42" s="16"/>
    </row>
    <row r="43" spans="1:9" ht="32.25" customHeight="1">
      <c r="A43" s="109" t="s">
        <v>0</v>
      </c>
      <c r="B43" s="110" t="s">
        <v>40</v>
      </c>
      <c r="C43" s="111" t="s">
        <v>41</v>
      </c>
      <c r="D43" s="112" t="s">
        <v>42</v>
      </c>
      <c r="E43" s="113" t="s">
        <v>43</v>
      </c>
      <c r="F43" s="17">
        <f>SUM(E44:E51)</f>
        <v>2.7</v>
      </c>
      <c r="G43" s="18">
        <f>10+F43+F45+F51</f>
        <v>14.6</v>
      </c>
      <c r="H43" s="275"/>
      <c r="I43" s="16"/>
    </row>
    <row r="44" spans="1:9" ht="15.75" customHeight="1">
      <c r="A44" s="23" t="s">
        <v>83</v>
      </c>
      <c r="B44" s="24">
        <v>8</v>
      </c>
      <c r="C44" s="25">
        <v>2</v>
      </c>
      <c r="D44" s="184" t="s">
        <v>51</v>
      </c>
      <c r="E44" s="190">
        <f>IF(D44="F",0.6,IF(D44="C",0.3,IF(D44="D",0.4,IF(D44="E",0.5,IF(D44="A",0.1,IF(D44="G",0.7,IF(D44="H",0.8,IF(D44="B",0.2,""))))))))</f>
        <v>0.2</v>
      </c>
      <c r="F44" s="20" t="s">
        <v>48</v>
      </c>
      <c r="G44" s="21" t="s">
        <v>49</v>
      </c>
      <c r="H44" s="22">
        <v>0.6</v>
      </c>
      <c r="I44" s="16"/>
    </row>
    <row r="45" spans="1:9" ht="15.75" customHeight="1">
      <c r="A45" s="91" t="s">
        <v>218</v>
      </c>
      <c r="B45" s="92">
        <v>106</v>
      </c>
      <c r="C45" s="30">
        <v>3</v>
      </c>
      <c r="D45" s="140" t="s">
        <v>119</v>
      </c>
      <c r="E45" s="172">
        <f t="shared" ref="E45:E47" si="3">IF(D45="F",0.6,IF(D45="C",0.3,IF(D45="D",0.4,IF(D45="E",0.5,IF(D45="A",0.1,IF(D45="G",0.7,IF(D45="H",0.8,IF(D45="B",0.2,""))))))))</f>
        <v>0.4</v>
      </c>
      <c r="F45" s="26">
        <v>1.8</v>
      </c>
      <c r="G45" s="27">
        <f>G43-1.5</f>
        <v>13.1</v>
      </c>
      <c r="H45" s="22">
        <v>0.85</v>
      </c>
      <c r="I45" s="16"/>
    </row>
    <row r="46" spans="1:9" ht="15.75" customHeight="1">
      <c r="A46" s="91" t="s">
        <v>219</v>
      </c>
      <c r="B46" s="92">
        <v>5</v>
      </c>
      <c r="C46" s="25">
        <v>3</v>
      </c>
      <c r="D46" s="140" t="s">
        <v>204</v>
      </c>
      <c r="E46" s="172">
        <f t="shared" si="3"/>
        <v>0.5</v>
      </c>
      <c r="H46" s="22">
        <v>0.9</v>
      </c>
      <c r="I46" s="16"/>
    </row>
    <row r="47" spans="1:9" ht="15.75" customHeight="1">
      <c r="A47" s="91" t="s">
        <v>220</v>
      </c>
      <c r="B47" s="92">
        <v>4</v>
      </c>
      <c r="C47" s="34">
        <v>3</v>
      </c>
      <c r="D47" s="107" t="s">
        <v>119</v>
      </c>
      <c r="E47" s="172">
        <f t="shared" si="3"/>
        <v>0.4</v>
      </c>
      <c r="G47" s="31"/>
      <c r="H47" s="22">
        <v>0.95</v>
      </c>
      <c r="I47" s="16"/>
    </row>
    <row r="48" spans="1:9" ht="15.75" customHeight="1">
      <c r="A48" s="23" t="s">
        <v>195</v>
      </c>
      <c r="B48" s="24">
        <v>3</v>
      </c>
      <c r="C48" s="25">
        <v>2</v>
      </c>
      <c r="D48" s="185" t="s">
        <v>100</v>
      </c>
      <c r="E48" s="172">
        <f>IF(D48="F",0.6,IF(D48="C",0.3,IF(D48="D",0.4,IF(D48="E",0.5,IF(D48="A",0.1,IF(D48="G",0.7,IF(D48="H",0.8,IF(D48="B",0.2,""))))))))</f>
        <v>0.3</v>
      </c>
      <c r="G48" s="31"/>
      <c r="H48" s="22">
        <v>0.85</v>
      </c>
      <c r="I48" s="16"/>
    </row>
    <row r="49" spans="1:9" ht="15.75" customHeight="1">
      <c r="A49" s="23" t="s">
        <v>194</v>
      </c>
      <c r="B49" s="24">
        <v>27</v>
      </c>
      <c r="C49" s="30">
        <v>2</v>
      </c>
      <c r="D49" s="185" t="s">
        <v>100</v>
      </c>
      <c r="E49" s="172">
        <f>IF(D49="F",0.6,IF(D49="C",0.3,IF(D49="D",0.4,IF(D49="E",0.5,IF(D49="A",0.1,IF(D49="G",0.7,IF(D49="H",0.8,IF(D49="B",0.2,""))))))))</f>
        <v>0.3</v>
      </c>
      <c r="G49" s="31"/>
      <c r="H49" s="22">
        <v>0.65</v>
      </c>
      <c r="I49" s="16"/>
    </row>
    <row r="50" spans="1:9" ht="15.75" customHeight="1">
      <c r="A50" s="23" t="s">
        <v>81</v>
      </c>
      <c r="B50" s="92">
        <v>1</v>
      </c>
      <c r="C50" s="35">
        <v>1</v>
      </c>
      <c r="D50" s="173" t="s">
        <v>47</v>
      </c>
      <c r="E50" s="172">
        <f t="shared" ref="E50:E51" si="4">IF(D50="F",0.6,IF(D50="C",0.3,IF(D50="D",0.4,IF(D50="E",0.5,IF(D50="A",0.1,IF(D50="G",0.7,IF(D50="H",0.8,IF(D50="B",0.2,""))))))))</f>
        <v>0.1</v>
      </c>
      <c r="F50" s="33" t="s">
        <v>56</v>
      </c>
      <c r="G50" s="31"/>
      <c r="H50" s="22">
        <v>0.95</v>
      </c>
      <c r="I50" s="16"/>
    </row>
    <row r="51" spans="1:9" ht="15.75" customHeight="1">
      <c r="A51" s="91" t="s">
        <v>221</v>
      </c>
      <c r="B51" s="92">
        <v>6</v>
      </c>
      <c r="C51" s="35">
        <v>4</v>
      </c>
      <c r="D51" s="140" t="s">
        <v>204</v>
      </c>
      <c r="E51" s="172">
        <f t="shared" si="4"/>
        <v>0.5</v>
      </c>
      <c r="F51" s="36">
        <v>0.1</v>
      </c>
      <c r="G51" s="31"/>
      <c r="H51" s="22">
        <v>0.65</v>
      </c>
      <c r="I51" s="16"/>
    </row>
    <row r="52" spans="1:9" ht="15.75" customHeight="1">
      <c r="B52" s="74"/>
      <c r="G52" s="31"/>
      <c r="H52" s="41"/>
      <c r="I52" s="16"/>
    </row>
    <row r="53" spans="1:9" ht="15.75" customHeight="1">
      <c r="A53" s="271" t="s">
        <v>7</v>
      </c>
      <c r="B53" s="272"/>
      <c r="C53" s="273" t="str">
        <f>A1</f>
        <v>DIEGO</v>
      </c>
      <c r="D53" s="272"/>
      <c r="E53" s="270"/>
      <c r="F53" s="14" t="s">
        <v>37</v>
      </c>
      <c r="G53" s="15" t="s">
        <v>38</v>
      </c>
      <c r="H53" s="274" t="s">
        <v>39</v>
      </c>
      <c r="I53" s="16"/>
    </row>
    <row r="54" spans="1:9" ht="30" customHeight="1">
      <c r="A54" s="109" t="s">
        <v>0</v>
      </c>
      <c r="B54" s="110" t="s">
        <v>40</v>
      </c>
      <c r="C54" s="111" t="s">
        <v>41</v>
      </c>
      <c r="D54" s="118" t="s">
        <v>42</v>
      </c>
      <c r="E54" s="113" t="s">
        <v>43</v>
      </c>
      <c r="F54" s="17">
        <f>SUM(E55:E63)</f>
        <v>2.8</v>
      </c>
      <c r="G54" s="18">
        <f>10+F54+F56+F62+E63</f>
        <v>14.8</v>
      </c>
      <c r="H54" s="275"/>
      <c r="I54" s="16"/>
    </row>
    <row r="55" spans="1:9" ht="15.75" customHeight="1">
      <c r="A55" s="23" t="s">
        <v>87</v>
      </c>
      <c r="B55" s="29">
        <v>31</v>
      </c>
      <c r="C55" s="35">
        <v>1</v>
      </c>
      <c r="D55" s="171" t="s">
        <v>47</v>
      </c>
      <c r="E55" s="172">
        <f>IF(D55="F",0.6,IF(D55="C",0.3,IF(D55="D",0.4,IF(D55="E",0.5,IF(D55="A",0.1,IF(D55="G",0.7,IF(D55="H",0.8,IF(D55="B",0.2,""))))))))</f>
        <v>0.1</v>
      </c>
      <c r="F55" s="20" t="s">
        <v>48</v>
      </c>
      <c r="G55" s="21" t="s">
        <v>49</v>
      </c>
      <c r="H55" s="22">
        <v>0.85</v>
      </c>
      <c r="I55" s="16"/>
    </row>
    <row r="56" spans="1:9" ht="15.75" customHeight="1">
      <c r="A56" s="23" t="s">
        <v>222</v>
      </c>
      <c r="B56" s="24">
        <v>96</v>
      </c>
      <c r="C56" s="25">
        <v>2</v>
      </c>
      <c r="D56" s="107" t="s">
        <v>223</v>
      </c>
      <c r="E56" s="172">
        <f t="shared" ref="E56:E62" si="5">IF(D56="F",0.6,IF(D56="C",0.3,IF(D56="D",0.4,IF(D56="E",0.5,IF(D56="A",0.1,IF(D56="G",0.7,IF(D56="H",0.8,IF(D56="B",0.2,""))))))))</f>
        <v>0.7</v>
      </c>
      <c r="F56" s="26">
        <v>2</v>
      </c>
      <c r="G56" s="27">
        <f>G54-1.5</f>
        <v>13.3</v>
      </c>
      <c r="H56" s="22">
        <v>0.7</v>
      </c>
      <c r="I56" s="16"/>
    </row>
    <row r="57" spans="1:9" ht="15.75" customHeight="1">
      <c r="A57" s="23" t="s">
        <v>224</v>
      </c>
      <c r="B57" s="24">
        <v>89</v>
      </c>
      <c r="C57" s="30">
        <v>2</v>
      </c>
      <c r="D57" s="140" t="s">
        <v>204</v>
      </c>
      <c r="E57" s="172">
        <f t="shared" si="5"/>
        <v>0.5</v>
      </c>
      <c r="F57" s="40"/>
      <c r="G57" s="31"/>
      <c r="H57" s="22">
        <v>0.85</v>
      </c>
      <c r="I57" s="16"/>
    </row>
    <row r="58" spans="1:9" ht="15.75" customHeight="1">
      <c r="A58" s="23" t="s">
        <v>198</v>
      </c>
      <c r="B58" s="24">
        <v>38</v>
      </c>
      <c r="C58" s="25">
        <v>3</v>
      </c>
      <c r="D58" s="140" t="s">
        <v>51</v>
      </c>
      <c r="E58" s="172">
        <f t="shared" si="5"/>
        <v>0.2</v>
      </c>
      <c r="F58" s="31"/>
      <c r="G58" s="31"/>
      <c r="H58" s="22">
        <v>0.95</v>
      </c>
      <c r="I58" s="16"/>
    </row>
    <row r="59" spans="1:9" ht="15.75" customHeight="1">
      <c r="A59" s="23" t="s">
        <v>102</v>
      </c>
      <c r="B59" s="29">
        <v>37</v>
      </c>
      <c r="C59" s="34">
        <v>1</v>
      </c>
      <c r="D59" s="107" t="s">
        <v>47</v>
      </c>
      <c r="E59" s="172">
        <f t="shared" si="5"/>
        <v>0.1</v>
      </c>
      <c r="F59" s="31"/>
      <c r="G59" s="31"/>
      <c r="H59" s="22">
        <v>0.95</v>
      </c>
      <c r="I59" s="16"/>
    </row>
    <row r="60" spans="1:9" ht="15.75" customHeight="1">
      <c r="A60" s="23" t="s">
        <v>145</v>
      </c>
      <c r="B60" s="24">
        <v>32</v>
      </c>
      <c r="C60" s="35">
        <v>3</v>
      </c>
      <c r="D60" s="173" t="s">
        <v>51</v>
      </c>
      <c r="E60" s="172">
        <f t="shared" si="5"/>
        <v>0.2</v>
      </c>
      <c r="F60" s="40"/>
      <c r="G60" s="31"/>
      <c r="H60" s="22">
        <v>0.95</v>
      </c>
      <c r="I60" s="16"/>
    </row>
    <row r="61" spans="1:9" ht="15.75" customHeight="1">
      <c r="A61" s="23" t="s">
        <v>199</v>
      </c>
      <c r="B61" s="24">
        <v>64</v>
      </c>
      <c r="C61" s="35">
        <v>3</v>
      </c>
      <c r="D61" s="173" t="s">
        <v>119</v>
      </c>
      <c r="E61" s="172">
        <f t="shared" si="5"/>
        <v>0.4</v>
      </c>
      <c r="F61" s="33" t="s">
        <v>56</v>
      </c>
      <c r="G61" s="31"/>
      <c r="H61" s="22">
        <v>0.8</v>
      </c>
      <c r="I61" s="16"/>
    </row>
    <row r="62" spans="1:9" ht="15.75" customHeight="1">
      <c r="A62" s="23" t="s">
        <v>182</v>
      </c>
      <c r="B62" s="24">
        <v>42</v>
      </c>
      <c r="C62" s="35">
        <v>4</v>
      </c>
      <c r="D62" s="140" t="s">
        <v>225</v>
      </c>
      <c r="E62" s="172">
        <f t="shared" si="5"/>
        <v>0.6</v>
      </c>
      <c r="F62" s="36"/>
      <c r="G62" s="31"/>
      <c r="H62" s="22">
        <v>0.85</v>
      </c>
      <c r="I62" s="16"/>
    </row>
    <row r="63" spans="1:9" ht="15.75" customHeight="1">
      <c r="A63" s="31"/>
      <c r="B63" s="48"/>
      <c r="C63" s="31"/>
      <c r="D63" s="38" t="s">
        <v>174</v>
      </c>
      <c r="E63" s="39"/>
      <c r="F63" s="31"/>
      <c r="G63" s="31"/>
      <c r="H63" s="41"/>
      <c r="I63" s="16"/>
    </row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A37:B37"/>
    <mergeCell ref="C42:E42"/>
    <mergeCell ref="A42:B42"/>
    <mergeCell ref="A53:B53"/>
    <mergeCell ref="H25:H26"/>
    <mergeCell ref="C25:E25"/>
    <mergeCell ref="H53:H54"/>
    <mergeCell ref="C53:E53"/>
    <mergeCell ref="H37:H38"/>
    <mergeCell ref="H42:H43"/>
    <mergeCell ref="C37:D37"/>
    <mergeCell ref="A1:B1"/>
    <mergeCell ref="H2:H3"/>
    <mergeCell ref="A25:B25"/>
    <mergeCell ref="C14:E14"/>
    <mergeCell ref="A14:B14"/>
    <mergeCell ref="C2:E2"/>
    <mergeCell ref="A2:B2"/>
    <mergeCell ref="H14:H15"/>
  </mergeCells>
  <conditionalFormatting sqref="A2 A13:A14 A25 A36:A37 A42 A53">
    <cfRule type="expression" dxfId="165" priority="203">
      <formula>AZ:AZ&gt;=80</formula>
    </cfRule>
  </conditionalFormatting>
  <conditionalFormatting sqref="C8:C9 C11 C4:C6 C27:C28 C31:C34 C16:C20 C22:C23">
    <cfRule type="cellIs" dxfId="164" priority="199" operator="equal">
      <formula>4</formula>
    </cfRule>
    <cfRule type="cellIs" dxfId="163" priority="200" operator="equal">
      <formula>3</formula>
    </cfRule>
    <cfRule type="cellIs" dxfId="162" priority="201" operator="equal">
      <formula>2</formula>
    </cfRule>
    <cfRule type="cellIs" dxfId="161" priority="202" operator="equal">
      <formula>1</formula>
    </cfRule>
  </conditionalFormatting>
  <conditionalFormatting sqref="C39:C40">
    <cfRule type="cellIs" dxfId="160" priority="123" operator="equal">
      <formula>4</formula>
    </cfRule>
    <cfRule type="cellIs" dxfId="159" priority="124" operator="equal">
      <formula>3</formula>
    </cfRule>
    <cfRule type="cellIs" dxfId="158" priority="125" operator="equal">
      <formula>2</formula>
    </cfRule>
    <cfRule type="cellIs" dxfId="157" priority="126" operator="equal">
      <formula>1</formula>
    </cfRule>
  </conditionalFormatting>
  <conditionalFormatting sqref="C55:C62">
    <cfRule type="cellIs" dxfId="156" priority="155" operator="equal">
      <formula>4</formula>
    </cfRule>
    <cfRule type="cellIs" dxfId="155" priority="156" operator="equal">
      <formula>3</formula>
    </cfRule>
    <cfRule type="cellIs" dxfId="154" priority="157" operator="equal">
      <formula>2</formula>
    </cfRule>
    <cfRule type="cellIs" dxfId="153" priority="158" operator="equal">
      <formula>1</formula>
    </cfRule>
  </conditionalFormatting>
  <conditionalFormatting sqref="D8:D9 D11 D4:D6 D27:D28 D31:D34 D16:D20 D22:D23">
    <cfRule type="containsText" dxfId="152" priority="192" operator="containsText" text="G">
      <formula>NOT(ISERROR(SEARCH("G",D4)))</formula>
    </cfRule>
    <cfRule type="containsText" dxfId="151" priority="193" operator="containsText" text="F">
      <formula>NOT(ISERROR(SEARCH("F",D4)))</formula>
    </cfRule>
    <cfRule type="containsText" dxfId="150" priority="194" operator="containsText" text="E">
      <formula>NOT(ISERROR(SEARCH("E",D4)))</formula>
    </cfRule>
    <cfRule type="containsText" dxfId="149" priority="195" operator="containsText" text="D">
      <formula>NOT(ISERROR(SEARCH("D",D4)))</formula>
    </cfRule>
    <cfRule type="containsText" dxfId="148" priority="196" operator="containsText" text="C">
      <formula>NOT(ISERROR(SEARCH("C",D4)))</formula>
    </cfRule>
    <cfRule type="containsText" dxfId="147" priority="197" operator="containsText" text="B">
      <formula>NOT(ISERROR(SEARCH("B",D4)))</formula>
    </cfRule>
    <cfRule type="containsText" dxfId="146" priority="198" operator="containsText" text="A">
      <formula>NOT(ISERROR(SEARCH("A",D4)))</formula>
    </cfRule>
  </conditionalFormatting>
  <conditionalFormatting sqref="D55:D62">
    <cfRule type="containsText" dxfId="145" priority="148" operator="containsText" text="G">
      <formula>NOT(ISERROR(SEARCH("G",D55)))</formula>
    </cfRule>
    <cfRule type="containsText" dxfId="144" priority="149" operator="containsText" text="F">
      <formula>NOT(ISERROR(SEARCH("F",D55)))</formula>
    </cfRule>
    <cfRule type="containsText" dxfId="143" priority="150" operator="containsText" text="E">
      <formula>NOT(ISERROR(SEARCH("E",D55)))</formula>
    </cfRule>
    <cfRule type="containsText" dxfId="142" priority="151" operator="containsText" text="D">
      <formula>NOT(ISERROR(SEARCH("D",D55)))</formula>
    </cfRule>
    <cfRule type="containsText" dxfId="141" priority="152" operator="containsText" text="C">
      <formula>NOT(ISERROR(SEARCH("C",D55)))</formula>
    </cfRule>
    <cfRule type="containsText" dxfId="140" priority="153" operator="containsText" text="B">
      <formula>NOT(ISERROR(SEARCH("B",D55)))</formula>
    </cfRule>
    <cfRule type="containsText" dxfId="139" priority="154" operator="containsText" text="A">
      <formula>NOT(ISERROR(SEARCH("A",D55)))</formula>
    </cfRule>
  </conditionalFormatting>
  <conditionalFormatting sqref="H1">
    <cfRule type="cellIs" dxfId="138" priority="141" stopIfTrue="1" operator="between">
      <formula>0.81</formula>
      <formula>1</formula>
    </cfRule>
    <cfRule type="cellIs" dxfId="137" priority="142" stopIfTrue="1" operator="between">
      <formula>0.7</formula>
      <formula>0.8</formula>
    </cfRule>
    <cfRule type="cellIs" dxfId="136" priority="143" stopIfTrue="1" operator="between">
      <formula>0.01</formula>
      <formula>0.69</formula>
    </cfRule>
  </conditionalFormatting>
  <conditionalFormatting sqref="H1:H63">
    <cfRule type="cellIs" dxfId="135" priority="138" operator="between">
      <formula>0.7</formula>
      <formula>0.8</formula>
    </cfRule>
    <cfRule type="cellIs" dxfId="134" priority="139" operator="between">
      <formula>0.8</formula>
      <formula>1</formula>
    </cfRule>
    <cfRule type="cellIs" dxfId="133" priority="140" operator="between">
      <formula>69%</formula>
      <formula>0.01</formula>
    </cfRule>
  </conditionalFormatting>
  <conditionalFormatting sqref="I1:I63">
    <cfRule type="cellIs" dxfId="132" priority="208" stopIfTrue="1" operator="between">
      <formula>0.81</formula>
      <formula>1</formula>
    </cfRule>
    <cfRule type="cellIs" dxfId="131" priority="209" stopIfTrue="1" operator="between">
      <formula>0.7</formula>
      <formula>0.8</formula>
    </cfRule>
    <cfRule type="cellIs" dxfId="130" priority="210" stopIfTrue="1" operator="between">
      <formula>0.01</formula>
      <formula>0.69</formula>
    </cfRule>
  </conditionalFormatting>
  <conditionalFormatting sqref="C7">
    <cfRule type="cellIs" dxfId="129" priority="119" operator="equal">
      <formula>4</formula>
    </cfRule>
    <cfRule type="cellIs" dxfId="128" priority="120" operator="equal">
      <formula>3</formula>
    </cfRule>
    <cfRule type="cellIs" dxfId="127" priority="121" operator="equal">
      <formula>2</formula>
    </cfRule>
    <cfRule type="cellIs" dxfId="126" priority="122" operator="equal">
      <formula>1</formula>
    </cfRule>
  </conditionalFormatting>
  <conditionalFormatting sqref="D7">
    <cfRule type="containsText" dxfId="125" priority="112" operator="containsText" text="G">
      <formula>NOT(ISERROR(SEARCH("G",D7)))</formula>
    </cfRule>
    <cfRule type="containsText" dxfId="124" priority="113" operator="containsText" text="F">
      <formula>NOT(ISERROR(SEARCH("F",D7)))</formula>
    </cfRule>
    <cfRule type="containsText" dxfId="123" priority="114" operator="containsText" text="E">
      <formula>NOT(ISERROR(SEARCH("E",D7)))</formula>
    </cfRule>
    <cfRule type="containsText" dxfId="122" priority="115" operator="containsText" text="D">
      <formula>NOT(ISERROR(SEARCH("D",D7)))</formula>
    </cfRule>
    <cfRule type="containsText" dxfId="121" priority="116" operator="containsText" text="C">
      <formula>NOT(ISERROR(SEARCH("C",D7)))</formula>
    </cfRule>
    <cfRule type="containsText" dxfId="120" priority="117" operator="containsText" text="B">
      <formula>NOT(ISERROR(SEARCH("B",D7)))</formula>
    </cfRule>
    <cfRule type="containsText" dxfId="119" priority="118" operator="containsText" text="A">
      <formula>NOT(ISERROR(SEARCH("A",D7)))</formula>
    </cfRule>
  </conditionalFormatting>
  <conditionalFormatting sqref="C10">
    <cfRule type="cellIs" dxfId="118" priority="108" operator="equal">
      <formula>4</formula>
    </cfRule>
    <cfRule type="cellIs" dxfId="117" priority="109" operator="equal">
      <formula>3</formula>
    </cfRule>
    <cfRule type="cellIs" dxfId="116" priority="110" operator="equal">
      <formula>2</formula>
    </cfRule>
    <cfRule type="cellIs" dxfId="115" priority="111" operator="equal">
      <formula>1</formula>
    </cfRule>
  </conditionalFormatting>
  <conditionalFormatting sqref="D10">
    <cfRule type="containsText" dxfId="114" priority="101" operator="containsText" text="G">
      <formula>NOT(ISERROR(SEARCH("G",D10)))</formula>
    </cfRule>
    <cfRule type="containsText" dxfId="113" priority="102" operator="containsText" text="F">
      <formula>NOT(ISERROR(SEARCH("F",D10)))</formula>
    </cfRule>
    <cfRule type="containsText" dxfId="112" priority="103" operator="containsText" text="E">
      <formula>NOT(ISERROR(SEARCH("E",D10)))</formula>
    </cfRule>
    <cfRule type="containsText" dxfId="111" priority="104" operator="containsText" text="D">
      <formula>NOT(ISERROR(SEARCH("D",D10)))</formula>
    </cfRule>
    <cfRule type="containsText" dxfId="110" priority="105" operator="containsText" text="C">
      <formula>NOT(ISERROR(SEARCH("C",D10)))</formula>
    </cfRule>
    <cfRule type="containsText" dxfId="109" priority="106" operator="containsText" text="B">
      <formula>NOT(ISERROR(SEARCH("B",D10)))</formula>
    </cfRule>
    <cfRule type="containsText" dxfId="108" priority="107" operator="containsText" text="A">
      <formula>NOT(ISERROR(SEARCH("A",D10)))</formula>
    </cfRule>
  </conditionalFormatting>
  <conditionalFormatting sqref="A30">
    <cfRule type="expression" dxfId="107" priority="100">
      <formula>H:H&gt;=80</formula>
    </cfRule>
  </conditionalFormatting>
  <conditionalFormatting sqref="C30">
    <cfRule type="cellIs" dxfId="106" priority="96" operator="equal">
      <formula>4</formula>
    </cfRule>
    <cfRule type="cellIs" dxfId="105" priority="97" operator="equal">
      <formula>3</formula>
    </cfRule>
    <cfRule type="cellIs" dxfId="104" priority="98" operator="equal">
      <formula>2</formula>
    </cfRule>
    <cfRule type="cellIs" dxfId="103" priority="99" operator="equal">
      <formula>1</formula>
    </cfRule>
  </conditionalFormatting>
  <conditionalFormatting sqref="D30">
    <cfRule type="containsText" dxfId="102" priority="89" operator="containsText" text="G">
      <formula>NOT(ISERROR(SEARCH("G",D30)))</formula>
    </cfRule>
    <cfRule type="containsText" dxfId="101" priority="90" operator="containsText" text="F">
      <formula>NOT(ISERROR(SEARCH("F",D30)))</formula>
    </cfRule>
    <cfRule type="containsText" dxfId="100" priority="91" operator="containsText" text="E">
      <formula>NOT(ISERROR(SEARCH("E",D30)))</formula>
    </cfRule>
    <cfRule type="containsText" dxfId="99" priority="92" operator="containsText" text="D">
      <formula>NOT(ISERROR(SEARCH("D",D30)))</formula>
    </cfRule>
    <cfRule type="containsText" dxfId="98" priority="93" operator="containsText" text="C">
      <formula>NOT(ISERROR(SEARCH("C",D30)))</formula>
    </cfRule>
    <cfRule type="containsText" dxfId="97" priority="94" operator="containsText" text="B">
      <formula>NOT(ISERROR(SEARCH("B",D30)))</formula>
    </cfRule>
    <cfRule type="containsText" dxfId="96" priority="95" operator="containsText" text="A">
      <formula>NOT(ISERROR(SEARCH("A",D30)))</formula>
    </cfRule>
  </conditionalFormatting>
  <conditionalFormatting sqref="C29">
    <cfRule type="cellIs" dxfId="95" priority="85" operator="equal">
      <formula>4</formula>
    </cfRule>
    <cfRule type="cellIs" dxfId="94" priority="86" operator="equal">
      <formula>3</formula>
    </cfRule>
    <cfRule type="cellIs" dxfId="93" priority="87" operator="equal">
      <formula>2</formula>
    </cfRule>
    <cfRule type="cellIs" dxfId="92" priority="88" operator="equal">
      <formula>1</formula>
    </cfRule>
  </conditionalFormatting>
  <conditionalFormatting sqref="D29">
    <cfRule type="containsText" dxfId="91" priority="78" operator="containsText" text="G">
      <formula>NOT(ISERROR(SEARCH("G",D29)))</formula>
    </cfRule>
    <cfRule type="containsText" dxfId="90" priority="79" operator="containsText" text="F">
      <formula>NOT(ISERROR(SEARCH("F",D29)))</formula>
    </cfRule>
    <cfRule type="containsText" dxfId="89" priority="80" operator="containsText" text="E">
      <formula>NOT(ISERROR(SEARCH("E",D29)))</formula>
    </cfRule>
    <cfRule type="containsText" dxfId="88" priority="81" operator="containsText" text="D">
      <formula>NOT(ISERROR(SEARCH("D",D29)))</formula>
    </cfRule>
    <cfRule type="containsText" dxfId="87" priority="82" operator="containsText" text="C">
      <formula>NOT(ISERROR(SEARCH("C",D29)))</formula>
    </cfRule>
    <cfRule type="containsText" dxfId="86" priority="83" operator="containsText" text="B">
      <formula>NOT(ISERROR(SEARCH("B",D29)))</formula>
    </cfRule>
    <cfRule type="containsText" dxfId="85" priority="84" operator="containsText" text="A">
      <formula>NOT(ISERROR(SEARCH("A",D29)))</formula>
    </cfRule>
  </conditionalFormatting>
  <conditionalFormatting sqref="C21">
    <cfRule type="cellIs" dxfId="84" priority="74" operator="equal">
      <formula>4</formula>
    </cfRule>
    <cfRule type="cellIs" dxfId="83" priority="75" operator="equal">
      <formula>3</formula>
    </cfRule>
    <cfRule type="cellIs" dxfId="82" priority="76" operator="equal">
      <formula>2</formula>
    </cfRule>
    <cfRule type="cellIs" dxfId="81" priority="77" operator="equal">
      <formula>1</formula>
    </cfRule>
  </conditionalFormatting>
  <conditionalFormatting sqref="D21">
    <cfRule type="containsText" dxfId="80" priority="67" operator="containsText" text="G">
      <formula>NOT(ISERROR(SEARCH("G",D21)))</formula>
    </cfRule>
    <cfRule type="containsText" dxfId="79" priority="68" operator="containsText" text="F">
      <formula>NOT(ISERROR(SEARCH("F",D21)))</formula>
    </cfRule>
    <cfRule type="containsText" dxfId="78" priority="69" operator="containsText" text="E">
      <formula>NOT(ISERROR(SEARCH("E",D21)))</formula>
    </cfRule>
    <cfRule type="containsText" dxfId="77" priority="70" operator="containsText" text="D">
      <formula>NOT(ISERROR(SEARCH("D",D21)))</formula>
    </cfRule>
    <cfRule type="containsText" dxfId="76" priority="71" operator="containsText" text="C">
      <formula>NOT(ISERROR(SEARCH("C",D21)))</formula>
    </cfRule>
    <cfRule type="containsText" dxfId="75" priority="72" operator="containsText" text="B">
      <formula>NOT(ISERROR(SEARCH("B",D21)))</formula>
    </cfRule>
    <cfRule type="containsText" dxfId="74" priority="73" operator="containsText" text="A">
      <formula>NOT(ISERROR(SEARCH("A",D21)))</formula>
    </cfRule>
  </conditionalFormatting>
  <conditionalFormatting sqref="C45">
    <cfRule type="cellIs" dxfId="73" priority="63" operator="equal">
      <formula>4</formula>
    </cfRule>
    <cfRule type="cellIs" dxfId="72" priority="64" operator="equal">
      <formula>3</formula>
    </cfRule>
    <cfRule type="cellIs" dxfId="71" priority="65" operator="equal">
      <formula>2</formula>
    </cfRule>
    <cfRule type="cellIs" dxfId="70" priority="66" operator="equal">
      <formula>1</formula>
    </cfRule>
  </conditionalFormatting>
  <conditionalFormatting sqref="D45">
    <cfRule type="containsText" dxfId="69" priority="56" operator="containsText" text="G">
      <formula>NOT(ISERROR(SEARCH("G",D45)))</formula>
    </cfRule>
    <cfRule type="containsText" dxfId="68" priority="57" operator="containsText" text="F">
      <formula>NOT(ISERROR(SEARCH("F",D45)))</formula>
    </cfRule>
    <cfRule type="containsText" dxfId="67" priority="58" operator="containsText" text="E">
      <formula>NOT(ISERROR(SEARCH("E",D45)))</formula>
    </cfRule>
    <cfRule type="containsText" dxfId="66" priority="59" operator="containsText" text="D">
      <formula>NOT(ISERROR(SEARCH("D",D45)))</formula>
    </cfRule>
    <cfRule type="containsText" dxfId="65" priority="60" operator="containsText" text="C">
      <formula>NOT(ISERROR(SEARCH("C",D45)))</formula>
    </cfRule>
    <cfRule type="containsText" dxfId="64" priority="61" operator="containsText" text="B">
      <formula>NOT(ISERROR(SEARCH("B",D45)))</formula>
    </cfRule>
    <cfRule type="containsText" dxfId="63" priority="62" operator="containsText" text="A">
      <formula>NOT(ISERROR(SEARCH("A",D45)))</formula>
    </cfRule>
  </conditionalFormatting>
  <conditionalFormatting sqref="C46:C47">
    <cfRule type="cellIs" dxfId="62" priority="52" operator="equal">
      <formula>4</formula>
    </cfRule>
    <cfRule type="cellIs" dxfId="61" priority="53" operator="equal">
      <formula>3</formula>
    </cfRule>
    <cfRule type="cellIs" dxfId="60" priority="54" operator="equal">
      <formula>2</formula>
    </cfRule>
    <cfRule type="cellIs" dxfId="59" priority="55" operator="equal">
      <formula>1</formula>
    </cfRule>
  </conditionalFormatting>
  <conditionalFormatting sqref="D46:D47">
    <cfRule type="containsText" dxfId="58" priority="45" operator="containsText" text="G">
      <formula>NOT(ISERROR(SEARCH("G",D46)))</formula>
    </cfRule>
    <cfRule type="containsText" dxfId="57" priority="46" operator="containsText" text="F">
      <formula>NOT(ISERROR(SEARCH("F",D46)))</formula>
    </cfRule>
    <cfRule type="containsText" dxfId="56" priority="47" operator="containsText" text="E">
      <formula>NOT(ISERROR(SEARCH("E",D46)))</formula>
    </cfRule>
    <cfRule type="containsText" dxfId="55" priority="48" operator="containsText" text="D">
      <formula>NOT(ISERROR(SEARCH("D",D46)))</formula>
    </cfRule>
    <cfRule type="containsText" dxfId="54" priority="49" operator="containsText" text="C">
      <formula>NOT(ISERROR(SEARCH("C",D46)))</formula>
    </cfRule>
    <cfRule type="containsText" dxfId="53" priority="50" operator="containsText" text="B">
      <formula>NOT(ISERROR(SEARCH("B",D46)))</formula>
    </cfRule>
    <cfRule type="containsText" dxfId="52" priority="51" operator="containsText" text="A">
      <formula>NOT(ISERROR(SEARCH("A",D46)))</formula>
    </cfRule>
  </conditionalFormatting>
  <conditionalFormatting sqref="C48">
    <cfRule type="cellIs" dxfId="51" priority="41" operator="equal">
      <formula>4</formula>
    </cfRule>
    <cfRule type="cellIs" dxfId="50" priority="42" operator="equal">
      <formula>3</formula>
    </cfRule>
    <cfRule type="cellIs" dxfId="49" priority="43" operator="equal">
      <formula>2</formula>
    </cfRule>
    <cfRule type="cellIs" dxfId="48" priority="44" operator="equal">
      <formula>1</formula>
    </cfRule>
  </conditionalFormatting>
  <conditionalFormatting sqref="D48">
    <cfRule type="containsText" dxfId="47" priority="34" operator="containsText" text="G">
      <formula>NOT(ISERROR(SEARCH("G",D48)))</formula>
    </cfRule>
    <cfRule type="containsText" dxfId="46" priority="35" operator="containsText" text="F">
      <formula>NOT(ISERROR(SEARCH("F",D48)))</formula>
    </cfRule>
    <cfRule type="containsText" dxfId="45" priority="36" operator="containsText" text="E">
      <formula>NOT(ISERROR(SEARCH("E",D48)))</formula>
    </cfRule>
    <cfRule type="containsText" dxfId="44" priority="37" operator="containsText" text="D">
      <formula>NOT(ISERROR(SEARCH("D",D48)))</formula>
    </cfRule>
    <cfRule type="containsText" dxfId="43" priority="38" operator="containsText" text="C">
      <formula>NOT(ISERROR(SEARCH("C",D48)))</formula>
    </cfRule>
    <cfRule type="containsText" dxfId="42" priority="39" operator="containsText" text="B">
      <formula>NOT(ISERROR(SEARCH("B",D48)))</formula>
    </cfRule>
    <cfRule type="containsText" dxfId="41" priority="40" operator="containsText" text="A">
      <formula>NOT(ISERROR(SEARCH("A",D48)))</formula>
    </cfRule>
  </conditionalFormatting>
  <conditionalFormatting sqref="C49">
    <cfRule type="cellIs" dxfId="40" priority="30" operator="equal">
      <formula>4</formula>
    </cfRule>
    <cfRule type="cellIs" dxfId="39" priority="31" operator="equal">
      <formula>3</formula>
    </cfRule>
    <cfRule type="cellIs" dxfId="38" priority="32" operator="equal">
      <formula>2</formula>
    </cfRule>
    <cfRule type="cellIs" dxfId="37" priority="33" operator="equal">
      <formula>1</formula>
    </cfRule>
  </conditionalFormatting>
  <conditionalFormatting sqref="D49">
    <cfRule type="containsText" dxfId="36" priority="23" operator="containsText" text="G">
      <formula>NOT(ISERROR(SEARCH("G",D49)))</formula>
    </cfRule>
    <cfRule type="containsText" dxfId="35" priority="24" operator="containsText" text="F">
      <formula>NOT(ISERROR(SEARCH("F",D49)))</formula>
    </cfRule>
    <cfRule type="containsText" dxfId="34" priority="25" operator="containsText" text="E">
      <formula>NOT(ISERROR(SEARCH("E",D49)))</formula>
    </cfRule>
    <cfRule type="containsText" dxfId="33" priority="26" operator="containsText" text="D">
      <formula>NOT(ISERROR(SEARCH("D",D49)))</formula>
    </cfRule>
    <cfRule type="containsText" dxfId="32" priority="27" operator="containsText" text="C">
      <formula>NOT(ISERROR(SEARCH("C",D49)))</formula>
    </cfRule>
    <cfRule type="containsText" dxfId="31" priority="28" operator="containsText" text="B">
      <formula>NOT(ISERROR(SEARCH("B",D49)))</formula>
    </cfRule>
    <cfRule type="containsText" dxfId="30" priority="29" operator="containsText" text="A">
      <formula>NOT(ISERROR(SEARCH("A",D49)))</formula>
    </cfRule>
  </conditionalFormatting>
  <conditionalFormatting sqref="C50:C51">
    <cfRule type="cellIs" dxfId="29" priority="19" operator="equal">
      <formula>4</formula>
    </cfRule>
    <cfRule type="cellIs" dxfId="28" priority="20" operator="equal">
      <formula>3</formula>
    </cfRule>
    <cfRule type="cellIs" dxfId="27" priority="21" operator="equal">
      <formula>2</formula>
    </cfRule>
    <cfRule type="cellIs" dxfId="26" priority="22" operator="equal">
      <formula>1</formula>
    </cfRule>
  </conditionalFormatting>
  <conditionalFormatting sqref="D50:D51">
    <cfRule type="containsText" dxfId="25" priority="12" operator="containsText" text="G">
      <formula>NOT(ISERROR(SEARCH("G",D50)))</formula>
    </cfRule>
    <cfRule type="containsText" dxfId="24" priority="13" operator="containsText" text="F">
      <formula>NOT(ISERROR(SEARCH("F",D50)))</formula>
    </cfRule>
    <cfRule type="containsText" dxfId="23" priority="14" operator="containsText" text="E">
      <formula>NOT(ISERROR(SEARCH("E",D50)))</formula>
    </cfRule>
    <cfRule type="containsText" dxfId="22" priority="15" operator="containsText" text="D">
      <formula>NOT(ISERROR(SEARCH("D",D50)))</formula>
    </cfRule>
    <cfRule type="containsText" dxfId="21" priority="16" operator="containsText" text="C">
      <formula>NOT(ISERROR(SEARCH("C",D50)))</formula>
    </cfRule>
    <cfRule type="containsText" dxfId="20" priority="17" operator="containsText" text="B">
      <formula>NOT(ISERROR(SEARCH("B",D50)))</formula>
    </cfRule>
    <cfRule type="containsText" dxfId="19" priority="18" operator="containsText" text="A">
      <formula>NOT(ISERROR(SEARCH("A",D50)))</formula>
    </cfRule>
  </conditionalFormatting>
  <conditionalFormatting sqref="C44">
    <cfRule type="cellIs" dxfId="18" priority="8" operator="equal">
      <formula>4</formula>
    </cfRule>
    <cfRule type="cellIs" dxfId="17" priority="9" operator="equal">
      <formula>3</formula>
    </cfRule>
    <cfRule type="cellIs" dxfId="16" priority="10" operator="equal">
      <formula>2</formula>
    </cfRule>
    <cfRule type="cellIs" dxfId="15" priority="11" operator="equal">
      <formula>1</formula>
    </cfRule>
  </conditionalFormatting>
  <conditionalFormatting sqref="D44">
    <cfRule type="containsText" dxfId="14" priority="1" operator="containsText" text="G">
      <formula>NOT(ISERROR(SEARCH("G",D44)))</formula>
    </cfRule>
    <cfRule type="containsText" dxfId="13" priority="2" operator="containsText" text="F">
      <formula>NOT(ISERROR(SEARCH("F",D44)))</formula>
    </cfRule>
    <cfRule type="containsText" dxfId="12" priority="3" operator="containsText" text="E">
      <formula>NOT(ISERROR(SEARCH("E",D44)))</formula>
    </cfRule>
    <cfRule type="containsText" dxfId="11" priority="4" operator="containsText" text="D">
      <formula>NOT(ISERROR(SEARCH("D",D44)))</formula>
    </cfRule>
    <cfRule type="containsText" dxfId="10" priority="5" operator="containsText" text="C">
      <formula>NOT(ISERROR(SEARCH("C",D44)))</formula>
    </cfRule>
    <cfRule type="containsText" dxfId="9" priority="6" operator="containsText" text="B">
      <formula>NOT(ISERROR(SEARCH("B",D44)))</formula>
    </cfRule>
    <cfRule type="containsText" dxfId="8" priority="7" operator="containsText" text="A">
      <formula>NOT(ISERROR(SEARCH("A",D44)))</formula>
    </cfRule>
  </conditionalFormatting>
  <printOptions horizontalCentered="1" verticalCentered="1"/>
  <pageMargins left="1" right="0.7" top="0.25" bottom="0.25" header="0" footer="0"/>
  <pageSetup scale="71" fitToWidth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9"/>
  <sheetViews>
    <sheetView tabSelected="1" topLeftCell="A2" workbookViewId="0">
      <selection activeCell="H2" sqref="H2"/>
    </sheetView>
  </sheetViews>
  <sheetFormatPr defaultColWidth="14.42578125" defaultRowHeight="15" customHeight="1"/>
  <cols>
    <col min="1" max="1" width="9.140625" customWidth="1"/>
    <col min="2" max="5" width="7.85546875" customWidth="1"/>
    <col min="6" max="6" width="9.140625" customWidth="1"/>
    <col min="7" max="7" width="7.85546875" customWidth="1"/>
    <col min="8" max="8" width="12.140625" customWidth="1"/>
    <col min="9" max="11" width="9.140625" customWidth="1"/>
  </cols>
  <sheetData>
    <row r="1" spans="1:11" hidden="1">
      <c r="A1" s="223" t="s">
        <v>226</v>
      </c>
      <c r="B1" s="224" t="s">
        <v>2</v>
      </c>
      <c r="C1" s="224" t="s">
        <v>227</v>
      </c>
      <c r="D1" s="224" t="s">
        <v>4</v>
      </c>
      <c r="E1" s="224" t="s">
        <v>5</v>
      </c>
      <c r="F1" s="224" t="s">
        <v>6</v>
      </c>
      <c r="G1" s="225" t="s">
        <v>7</v>
      </c>
      <c r="H1" s="224" t="s">
        <v>228</v>
      </c>
      <c r="I1" s="6"/>
      <c r="J1" s="6"/>
      <c r="K1" s="6"/>
    </row>
    <row r="2" spans="1:11" ht="24.75" customHeight="1">
      <c r="A2" s="226"/>
      <c r="B2" s="227" t="s">
        <v>2</v>
      </c>
      <c r="C2" s="227" t="s">
        <v>227</v>
      </c>
      <c r="D2" s="227" t="s">
        <v>4</v>
      </c>
      <c r="E2" s="227" t="s">
        <v>5</v>
      </c>
      <c r="F2" s="227" t="s">
        <v>6</v>
      </c>
      <c r="G2" s="227" t="s">
        <v>7</v>
      </c>
      <c r="H2" s="228" t="s">
        <v>229</v>
      </c>
      <c r="I2" s="168"/>
      <c r="J2" s="6"/>
      <c r="K2" s="6"/>
    </row>
    <row r="3" spans="1:11">
      <c r="A3" s="229" t="s">
        <v>230</v>
      </c>
      <c r="B3" s="85">
        <f>'DIEGO J'!G3</f>
        <v>15</v>
      </c>
      <c r="C3" s="85">
        <f>'DIEGO J'!G15</f>
        <v>14.9</v>
      </c>
      <c r="D3" s="85">
        <f>'DIEGO J'!G26</f>
        <v>14.7</v>
      </c>
      <c r="E3" s="85">
        <f>'DIEGO J'!F40</f>
        <v>13.799999999999999</v>
      </c>
      <c r="F3" s="85">
        <f>'DIEGO J'!G43</f>
        <v>14.6</v>
      </c>
      <c r="G3" s="85">
        <f>'DIEGO J'!G54</f>
        <v>14.8</v>
      </c>
      <c r="H3" s="85">
        <f>'DIEGO J'!G1</f>
        <v>78.999999999999986</v>
      </c>
      <c r="I3" s="168"/>
      <c r="J3" s="6"/>
      <c r="K3" s="6"/>
    </row>
    <row r="4" spans="1:11">
      <c r="A4" s="167" t="s">
        <v>231</v>
      </c>
      <c r="B4" s="86">
        <f>RICHIE!G3</f>
        <v>14.4</v>
      </c>
      <c r="C4" s="86">
        <f>RICHIE!G14</f>
        <v>14</v>
      </c>
      <c r="D4" s="86">
        <f>RICHIE!G25</f>
        <v>13.4</v>
      </c>
      <c r="E4" s="86">
        <f>RICHIE!F39</f>
        <v>13.6</v>
      </c>
      <c r="F4" s="86">
        <f>RICHIE!G42</f>
        <v>13.2</v>
      </c>
      <c r="G4" s="86">
        <f>RICHIE!G53</f>
        <v>13.700000000000001</v>
      </c>
      <c r="H4" s="86">
        <f>RICHIE!G1</f>
        <v>73.5</v>
      </c>
      <c r="I4" s="168"/>
      <c r="J4" s="6"/>
      <c r="K4" s="6"/>
    </row>
    <row r="5" spans="1:11">
      <c r="A5" s="167" t="s">
        <v>232</v>
      </c>
      <c r="B5" s="86">
        <f>ALONSO!G3</f>
        <v>14.3</v>
      </c>
      <c r="C5" s="86">
        <f>ALONSO!G15</f>
        <v>11.799999999999999</v>
      </c>
      <c r="D5" s="86">
        <f>ALONSO!G26</f>
        <v>12.9</v>
      </c>
      <c r="E5" s="86">
        <f>ALONSO!F39</f>
        <v>13.6</v>
      </c>
      <c r="F5" s="86">
        <f>ALONSO!G42</f>
        <v>13</v>
      </c>
      <c r="G5" s="86">
        <f>ALONSO!G53</f>
        <v>13</v>
      </c>
      <c r="H5" s="86">
        <f>ALONSO!G1</f>
        <v>69.8</v>
      </c>
      <c r="I5" s="168"/>
      <c r="J5" s="6"/>
      <c r="K5" s="6"/>
    </row>
    <row r="6" spans="1:11">
      <c r="A6" s="167" t="s">
        <v>233</v>
      </c>
      <c r="B6" s="86">
        <f>MIKEL!G3</f>
        <v>12.8</v>
      </c>
      <c r="C6" s="86">
        <f>MIKEL!G14</f>
        <v>12.2</v>
      </c>
      <c r="D6" s="86">
        <f>MIKEL!G25</f>
        <v>12.8</v>
      </c>
      <c r="E6" s="86">
        <f>MIKEL!F37</f>
        <v>12.8</v>
      </c>
      <c r="F6" s="86">
        <f>MIKEL!G40</f>
        <v>12.299999999999999</v>
      </c>
      <c r="G6" s="86">
        <f>MIKEL!G51</f>
        <v>12.5</v>
      </c>
      <c r="H6" s="86">
        <f>MIKEL!G1</f>
        <v>66.599999999999994</v>
      </c>
      <c r="I6" s="168"/>
      <c r="J6" s="6"/>
      <c r="K6" s="6"/>
    </row>
    <row r="7" spans="1:11">
      <c r="A7" s="167" t="s">
        <v>234</v>
      </c>
      <c r="B7" s="86">
        <f>CHAMPI!G3</f>
        <v>13.4</v>
      </c>
      <c r="C7" s="86">
        <f>CHAMPI!G14</f>
        <v>11.799999999999999</v>
      </c>
      <c r="D7" s="86">
        <f>CHAMPI!G25</f>
        <v>12.100000000000001</v>
      </c>
      <c r="E7" s="86">
        <f>CHAMPI!F38</f>
        <v>11.8</v>
      </c>
      <c r="F7" s="86">
        <f>CHAMPI!G41</f>
        <v>12.2</v>
      </c>
      <c r="G7" s="86">
        <f>CHAMPI!G52</f>
        <v>13</v>
      </c>
      <c r="H7" s="86">
        <f>CHAMPI!G1</f>
        <v>65.5</v>
      </c>
      <c r="I7" s="168"/>
      <c r="J7" s="6"/>
      <c r="K7" s="6"/>
    </row>
    <row r="8" spans="1:11">
      <c r="A8" s="167" t="s">
        <v>235</v>
      </c>
      <c r="B8" s="86">
        <f>ISAAC!G3</f>
        <v>12.200000000000001</v>
      </c>
      <c r="C8" s="86">
        <f>ISAAC!G15</f>
        <v>11.799999999999999</v>
      </c>
      <c r="D8" s="86">
        <f>ISAAC!G26</f>
        <v>12.8</v>
      </c>
      <c r="E8" s="86">
        <f>ISAAC!F38</f>
        <v>12</v>
      </c>
      <c r="F8" s="86">
        <f>ISAAC!G41</f>
        <v>12.2</v>
      </c>
      <c r="G8" s="86">
        <f>ISAAC!G52</f>
        <v>12.8</v>
      </c>
      <c r="H8" s="86">
        <f>ISAAC!G1</f>
        <v>65</v>
      </c>
      <c r="I8" s="168"/>
      <c r="J8" s="6"/>
      <c r="K8" s="6"/>
    </row>
    <row r="9" spans="1:11">
      <c r="A9" s="167" t="s">
        <v>68</v>
      </c>
      <c r="B9" s="86">
        <f>VELA!H3</f>
        <v>12.8</v>
      </c>
      <c r="C9" s="86">
        <f>VELA!H14</f>
        <v>13</v>
      </c>
      <c r="D9" s="86">
        <f>VELA!H25</f>
        <v>13.1</v>
      </c>
      <c r="E9" s="86">
        <f>VELA!F37</f>
        <v>12.4</v>
      </c>
      <c r="F9" s="86">
        <f>VELA!H40</f>
        <v>13</v>
      </c>
      <c r="G9" s="86">
        <f>VELA!H51</f>
        <v>12.9</v>
      </c>
      <c r="H9" s="86">
        <f>VELA!H1</f>
        <v>68.400000000000006</v>
      </c>
      <c r="I9" s="168"/>
      <c r="J9" s="6"/>
      <c r="K9" s="6"/>
    </row>
    <row r="10" spans="1:11">
      <c r="A10" s="167" t="s">
        <v>236</v>
      </c>
      <c r="B10" s="86">
        <f>FER!G3</f>
        <v>12.4</v>
      </c>
      <c r="C10" s="86">
        <f>FER!G14</f>
        <v>12.4</v>
      </c>
      <c r="D10" s="86">
        <f>FER!G25</f>
        <v>12.2</v>
      </c>
      <c r="E10" s="86">
        <f>FER!F37</f>
        <v>12.2</v>
      </c>
      <c r="F10" s="86">
        <f>FER!G40</f>
        <v>12.4</v>
      </c>
      <c r="G10" s="86">
        <f>FER!G51</f>
        <v>12.2</v>
      </c>
      <c r="H10" s="86">
        <f>FER!G1</f>
        <v>67.8</v>
      </c>
      <c r="I10" s="168"/>
      <c r="J10" s="6"/>
      <c r="K10" s="6"/>
    </row>
    <row r="11" spans="1:11">
      <c r="A11" s="167" t="s">
        <v>237</v>
      </c>
      <c r="B11" s="86">
        <f>YERIK!G3</f>
        <v>12.3</v>
      </c>
      <c r="C11" s="86">
        <f>YERIK!G14</f>
        <v>12</v>
      </c>
      <c r="D11" s="86">
        <f>YERIK!G25</f>
        <v>12.2</v>
      </c>
      <c r="E11" s="86">
        <f>YERIK!F37</f>
        <v>12.4</v>
      </c>
      <c r="F11" s="86">
        <f>YERIK!G40</f>
        <v>12.2</v>
      </c>
      <c r="G11" s="86">
        <f>YERIK!G51</f>
        <v>12.1</v>
      </c>
      <c r="H11" s="86">
        <f>YERIK!G1</f>
        <v>67.199999999999989</v>
      </c>
      <c r="I11" s="168"/>
      <c r="J11" s="6"/>
      <c r="K11" s="6"/>
    </row>
    <row r="12" spans="1:11">
      <c r="A12" s="169"/>
      <c r="B12" s="168"/>
      <c r="C12" s="168"/>
      <c r="D12" s="168"/>
      <c r="E12" s="168"/>
      <c r="F12" s="168"/>
      <c r="G12" s="168"/>
      <c r="H12" s="168"/>
      <c r="I12" s="6"/>
      <c r="J12" s="6"/>
      <c r="K12" s="6"/>
    </row>
    <row r="13" spans="1:11">
      <c r="A13" s="88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>
      <c r="A14" s="88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>
      <c r="A15" s="88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>
      <c r="A16" s="88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88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8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88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15.75" customHeight="1">
      <c r="A20" s="88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15.75" customHeight="1">
      <c r="A21" s="88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5.75" customHeight="1">
      <c r="A22" s="88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5.75" customHeight="1">
      <c r="A23" s="88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5.75" customHeight="1">
      <c r="A24" s="88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15.75" customHeight="1">
      <c r="A25" s="88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5.75" customHeight="1">
      <c r="A26" s="88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5.75" customHeight="1">
      <c r="A27" s="88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15.75" customHeight="1">
      <c r="A28" s="88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5.75" customHeight="1">
      <c r="A29" s="8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5.75" customHeight="1">
      <c r="A30" s="88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5.75" customHeight="1">
      <c r="A31" s="88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5.75" customHeight="1">
      <c r="A32" s="88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5.75" customHeight="1">
      <c r="A33" s="88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.75" customHeight="1">
      <c r="A34" s="88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5.75" customHeight="1">
      <c r="A35" s="88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5.75" customHeight="1">
      <c r="A36" s="88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.75" customHeight="1">
      <c r="A37" s="8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5.75" customHeight="1">
      <c r="A38" s="8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5.75" customHeight="1">
      <c r="A39" s="8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5.75" customHeight="1">
      <c r="A40" s="8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5.75" customHeight="1">
      <c r="A41" s="8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15.75" customHeight="1">
      <c r="A42" s="88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5.75" customHeight="1">
      <c r="A43" s="88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5.75" customHeight="1">
      <c r="A44" s="88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15.75" customHeight="1">
      <c r="A45" s="88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5.75" customHeight="1">
      <c r="A46" s="88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5.75" customHeight="1">
      <c r="A47" s="88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5.75" customHeight="1">
      <c r="A48" s="8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5.75" customHeight="1">
      <c r="A49" s="88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5.75" customHeight="1">
      <c r="A50" s="88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5.75" customHeight="1">
      <c r="A51" s="88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5.75" customHeight="1">
      <c r="A52" s="88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5.75" customHeight="1">
      <c r="A53" s="88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15.75" customHeight="1">
      <c r="A54" s="88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15.75" customHeight="1">
      <c r="A55" s="8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5.75" customHeight="1">
      <c r="A56" s="88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15.75" customHeight="1">
      <c r="A57" s="88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ht="15.75" customHeight="1">
      <c r="A58" s="88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5.75" customHeight="1">
      <c r="A59" s="88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5.75" customHeight="1">
      <c r="A60" s="88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15.75" customHeight="1">
      <c r="A61" s="88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15.75" customHeight="1">
      <c r="A62" s="88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15.75" customHeight="1">
      <c r="A63" s="88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5.75" customHeight="1">
      <c r="A64" s="88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15.75" customHeight="1">
      <c r="A65" s="88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15.75" customHeight="1">
      <c r="A66" s="88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ht="15.75" customHeight="1">
      <c r="A67" s="88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15.75" customHeight="1">
      <c r="A68" s="88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15.75" customHeight="1">
      <c r="A69" s="88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15.75" customHeight="1">
      <c r="A70" s="88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15.75" customHeight="1">
      <c r="A71" s="88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ht="15.75" customHeight="1">
      <c r="A72" s="88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15.75" customHeight="1">
      <c r="A73" s="88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ht="15.75" customHeight="1">
      <c r="A74" s="88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15.75" customHeight="1">
      <c r="A75" s="88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15.75" customHeight="1">
      <c r="A76" s="88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15.75" customHeight="1">
      <c r="A77" s="88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ht="15.75" customHeight="1">
      <c r="A78" s="88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15.75" customHeight="1">
      <c r="A79" s="88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ht="15.75" customHeight="1">
      <c r="A80" s="88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5.75" customHeight="1">
      <c r="A81" s="88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ht="15.75" customHeight="1">
      <c r="A82" s="88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15.75" customHeight="1">
      <c r="A83" s="88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ht="15.75" customHeight="1">
      <c r="A84" s="88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15.75" customHeight="1">
      <c r="A85" s="88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15.75" customHeight="1">
      <c r="A86" s="88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15.75" customHeight="1">
      <c r="A87" s="88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ht="15.75" customHeight="1">
      <c r="A88" s="88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5.75" customHeight="1">
      <c r="A89" s="88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15.75" customHeight="1">
      <c r="A90" s="88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15.75" customHeight="1">
      <c r="A91" s="88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ht="15.75" customHeight="1">
      <c r="A92" s="88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15.75" customHeight="1">
      <c r="A93" s="88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ht="15.75" customHeight="1">
      <c r="A94" s="88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ht="15.75" customHeight="1">
      <c r="A95" s="88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ht="15.75" customHeight="1">
      <c r="A96" s="88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ht="15.75" customHeight="1">
      <c r="A97" s="88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ht="15.75" customHeight="1">
      <c r="A98" s="88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ht="15.75" customHeight="1">
      <c r="A99" s="88"/>
      <c r="B99" s="6"/>
      <c r="C99" s="6"/>
      <c r="D99" s="6"/>
      <c r="E99" s="6"/>
      <c r="F99" s="6"/>
      <c r="G99" s="6"/>
      <c r="H99" s="6"/>
      <c r="I99" s="6"/>
      <c r="J99" s="6"/>
      <c r="K99" s="6"/>
    </row>
  </sheetData>
  <printOptions horizontalCentered="1" verticalCentered="1"/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272D-1ACA-4CD5-9EBA-717C1E75389C}">
  <dimension ref="A1:K44"/>
  <sheetViews>
    <sheetView workbookViewId="0">
      <selection activeCell="D49" sqref="D49"/>
    </sheetView>
  </sheetViews>
  <sheetFormatPr defaultRowHeight="15"/>
  <cols>
    <col min="1" max="1" width="3" style="253" bestFit="1" customWidth="1"/>
    <col min="2" max="2" width="20.85546875" style="233" bestFit="1" customWidth="1"/>
    <col min="3" max="5" width="20.28515625" style="233" bestFit="1" customWidth="1"/>
    <col min="6" max="6" width="22.140625" style="233" bestFit="1" customWidth="1"/>
    <col min="7" max="8" width="22.5703125" style="233" bestFit="1" customWidth="1"/>
    <col min="9" max="9" width="24.28515625" style="233" bestFit="1" customWidth="1"/>
    <col min="10" max="10" width="20.85546875" style="233" bestFit="1" customWidth="1"/>
    <col min="11" max="16384" width="9.140625" style="233"/>
  </cols>
  <sheetData>
    <row r="1" spans="1:11">
      <c r="A1" s="252"/>
      <c r="B1" s="258" t="s">
        <v>33</v>
      </c>
      <c r="C1" s="243" t="s">
        <v>92</v>
      </c>
      <c r="D1" s="258" t="s">
        <v>104</v>
      </c>
      <c r="E1" s="242" t="s">
        <v>131</v>
      </c>
      <c r="F1" s="259" t="s">
        <v>146</v>
      </c>
      <c r="G1" s="241" t="s">
        <v>160</v>
      </c>
      <c r="H1" s="259" t="s">
        <v>167</v>
      </c>
      <c r="I1" s="241" t="s">
        <v>181</v>
      </c>
      <c r="J1" s="260" t="s">
        <v>238</v>
      </c>
      <c r="K1" s="234"/>
    </row>
    <row r="2" spans="1:11">
      <c r="A2" s="289" t="s">
        <v>2</v>
      </c>
      <c r="B2" s="254" t="str" cm="1">
        <f t="array" ref="B2:B9">YERIK!A4:A11</f>
        <v>Redondilla</v>
      </c>
      <c r="C2" s="254" t="str" cm="1">
        <f t="array" ref="C2:C9">FER!A4:A11</f>
        <v>Redondilla</v>
      </c>
      <c r="D2" s="255" t="str" cm="1">
        <f t="array" ref="D2:D9">VELA!A4:A11</f>
        <v>Redondilla</v>
      </c>
      <c r="E2" s="255" t="str" cm="1">
        <f t="array" ref="E2:E9">ISAAC!A4:A11</f>
        <v>Resorte</v>
      </c>
      <c r="F2" s="255" t="str" cm="1">
        <f t="array" ref="F2:F9">CHAMPI!A4:A11</f>
        <v>Doble en c atrás</v>
      </c>
      <c r="G2" s="255" t="str" cm="1">
        <f t="array" ref="G2:G9">MIKEL!A4:A11</f>
        <v>Doble en c atrás</v>
      </c>
      <c r="H2" s="255" t="str" cm="1">
        <f t="array" ref="H2:H9">ALONSO!A4:A11</f>
        <v>Doble adelante en c</v>
      </c>
      <c r="I2" s="255" t="str" cm="1">
        <f t="array" ref="I2:I9">RICHIE!A4:A11</f>
        <v>Doble en V atrás</v>
      </c>
      <c r="J2" s="255" t="str" cm="1">
        <f t="array" ref="J2:J9">'DIEGO J'!A4:A11</f>
        <v>Doble doble</v>
      </c>
    </row>
    <row r="3" spans="1:11">
      <c r="A3" s="289"/>
      <c r="B3" s="254" t="str">
        <v>Giro atrás</v>
      </c>
      <c r="C3" s="254" t="str">
        <v>Giro atrás</v>
      </c>
      <c r="D3" s="255" t="str">
        <v>Flick Flack</v>
      </c>
      <c r="E3" s="255" t="str">
        <v>Mortal Ext ade</v>
      </c>
      <c r="F3" s="255" t="str">
        <v>Doble giro y medio atras</v>
      </c>
      <c r="G3" s="255" t="str">
        <v>Giro al frente</v>
      </c>
      <c r="H3" s="255" t="str">
        <v>Tsukahara</v>
      </c>
      <c r="I3" s="255" t="str">
        <v>Doble adelante en c</v>
      </c>
      <c r="J3" s="255" t="str">
        <v>Giro al frente</v>
      </c>
    </row>
    <row r="4" spans="1:11">
      <c r="A4" s="289"/>
      <c r="B4" s="254" t="str">
        <v>Arabesca</v>
      </c>
      <c r="C4" s="254" t="str">
        <v>Mortal Ext ade</v>
      </c>
      <c r="D4" s="255" t="str">
        <v>Giro y medio atrás</v>
      </c>
      <c r="E4" s="255" t="str">
        <v>Giro atrás</v>
      </c>
      <c r="F4" s="255" t="str">
        <v>Varani</v>
      </c>
      <c r="G4" s="255" t="str">
        <v>Carpado al frente</v>
      </c>
      <c r="H4" s="255" t="str">
        <v>Doble giro atras</v>
      </c>
      <c r="I4" s="255" t="str">
        <v>Doble giro atras</v>
      </c>
      <c r="J4" s="255" t="str">
        <v>Doble adelante en c</v>
      </c>
    </row>
    <row r="5" spans="1:11">
      <c r="A5" s="289"/>
      <c r="B5" s="254" t="str">
        <v>Resorte</v>
      </c>
      <c r="C5" s="254" t="str">
        <v>Sissone</v>
      </c>
      <c r="D5" s="255" t="str">
        <v>Tempo</v>
      </c>
      <c r="E5" s="255" t="str">
        <v>Circulo en suelo</v>
      </c>
      <c r="F5" s="255" t="str">
        <v>Rusa 2"</v>
      </c>
      <c r="G5" s="255" t="str">
        <v>Circulo en suelo</v>
      </c>
      <c r="H5" s="255" t="str">
        <v>Flic facial</v>
      </c>
      <c r="I5" s="255" t="str">
        <v>Fedorchenko</v>
      </c>
      <c r="J5" s="255" t="str">
        <v>Doble giro atras</v>
      </c>
    </row>
    <row r="6" spans="1:11">
      <c r="A6" s="289"/>
      <c r="B6" s="254" t="str">
        <v>Mortal agru ade</v>
      </c>
      <c r="C6" s="254" t="str">
        <v>Mortal agru ade</v>
      </c>
      <c r="D6" s="255" t="str">
        <v>Mortal Ext atrás</v>
      </c>
      <c r="E6" s="255" t="str">
        <v>Arabesca</v>
      </c>
      <c r="F6" s="255" t="str">
        <v>Arabesca</v>
      </c>
      <c r="G6" s="255" t="str">
        <v>Flick Flack</v>
      </c>
      <c r="H6" s="255" t="str">
        <v>Doble en V atrás</v>
      </c>
      <c r="I6" s="255" t="str">
        <v xml:space="preserve">Split </v>
      </c>
      <c r="J6" s="255" t="str">
        <v xml:space="preserve">Endo cerrado a manos </v>
      </c>
    </row>
    <row r="7" spans="1:11">
      <c r="A7" s="289"/>
      <c r="B7" s="254" t="str">
        <v>Sissone</v>
      </c>
      <c r="C7" s="254" t="str">
        <v>Arabesca</v>
      </c>
      <c r="D7" s="255" t="str">
        <v>Mortal Agru ade</v>
      </c>
      <c r="E7" s="255" t="str">
        <v>Mortal Carp ade</v>
      </c>
      <c r="F7" s="255" t="str">
        <v>Doble giro atras</v>
      </c>
      <c r="G7" s="255" t="str">
        <v>Giro atrás</v>
      </c>
      <c r="H7" s="255" t="str">
        <v>Mortal Ext atrás</v>
      </c>
      <c r="I7" s="255" t="str">
        <v>Doble Giro al frente</v>
      </c>
      <c r="J7" s="255" t="str">
        <v>Fedorchenko</v>
      </c>
    </row>
    <row r="8" spans="1:11">
      <c r="A8" s="289"/>
      <c r="B8" s="254" t="str">
        <v>Redondilla</v>
      </c>
      <c r="C8" s="254" t="str">
        <v>Redondilla</v>
      </c>
      <c r="D8" s="255" t="str">
        <v>Arabesca</v>
      </c>
      <c r="E8" s="255" t="str">
        <v>Flick Flack</v>
      </c>
      <c r="F8" s="255" t="str">
        <v>Flick Flack</v>
      </c>
      <c r="G8" s="255" t="str">
        <v>Arabesca</v>
      </c>
      <c r="H8" s="255" t="str">
        <v>Salto del tigre</v>
      </c>
      <c r="I8" s="255" t="str">
        <v>Arabesca</v>
      </c>
      <c r="J8" s="255" t="str">
        <v>Triple giro atrás</v>
      </c>
    </row>
    <row r="9" spans="1:11">
      <c r="A9" s="290"/>
      <c r="B9" s="256" t="str">
        <v>Mortal Ext atrás</v>
      </c>
      <c r="C9" s="256" t="str">
        <v>Mortal Ext atrás</v>
      </c>
      <c r="D9" s="257" t="str">
        <v>Giro atrás</v>
      </c>
      <c r="E9" s="257" t="str">
        <v>Mortal Ext atrás</v>
      </c>
      <c r="F9" s="257" t="str">
        <v>Mortal Ext atrás</v>
      </c>
      <c r="G9" s="257" t="str">
        <v>Mortal Ext atrás</v>
      </c>
      <c r="H9" s="257" t="str">
        <v>Doble giro y medio atras</v>
      </c>
      <c r="I9" s="257" t="str">
        <v>Triple giro atrás</v>
      </c>
      <c r="J9" s="257" t="str">
        <v>Tsukahara</v>
      </c>
    </row>
    <row r="10" spans="1:11">
      <c r="A10" s="287" t="s">
        <v>227</v>
      </c>
      <c r="B10" s="238" t="str" cm="1">
        <f t="array" ref="B10:B17">YERIK!A15:A22</f>
        <v>Molino</v>
      </c>
      <c r="C10" s="238" t="str" cm="1">
        <f t="array" ref="C10:C17">FER!A15:A22</f>
        <v xml:space="preserve">Corte tijera </v>
      </c>
      <c r="D10" s="235" t="str" cm="1">
        <f t="array" ref="D10:D17">VELA!A15:A22</f>
        <v>Molino</v>
      </c>
      <c r="E10" s="235" t="str" cm="1">
        <f t="array" ref="E10:E15">ISAAC!A16:A21</f>
        <v xml:space="preserve">Corte tijera </v>
      </c>
      <c r="F10" s="235" t="str" cm="1">
        <f t="array" ref="F10:F15">CHAMPI!A15:A20</f>
        <v xml:space="preserve">Corte tijera </v>
      </c>
      <c r="G10" s="235" t="str" cm="1">
        <f t="array" ref="G10:G17">MIKEL!A15:A22</f>
        <v xml:space="preserve">Corte tijera </v>
      </c>
      <c r="H10" s="235" t="str" cm="1">
        <f t="array" ref="H10:H15">ALONSO!A16:A21</f>
        <v xml:space="preserve">Corte tijera </v>
      </c>
      <c r="I10" s="235" t="str" cm="1">
        <f t="array" ref="I10:I17">RICHIE!A15:A22</f>
        <v xml:space="preserve">Corte tijera </v>
      </c>
      <c r="J10" s="235" t="str" cm="1">
        <f t="array" ref="J10:J17">'DIEGO J'!A16:A23</f>
        <v xml:space="preserve">Corte tijera </v>
      </c>
    </row>
    <row r="11" spans="1:11">
      <c r="A11" s="287"/>
      <c r="B11" s="238" t="str">
        <v>1/4 Splindle</v>
      </c>
      <c r="C11" s="238" t="str">
        <v>Molino en arzones</v>
      </c>
      <c r="D11" s="235" t="str">
        <v>1/2 Magyar</v>
      </c>
      <c r="E11" s="235" t="str">
        <v>Molino en arzones</v>
      </c>
      <c r="F11" s="235" t="str">
        <v>Molino en arzones</v>
      </c>
      <c r="G11" s="235" t="str">
        <v>Molino en arzones</v>
      </c>
      <c r="H11" s="235" t="str">
        <v>Molino en arzones</v>
      </c>
      <c r="I11" s="235" t="str">
        <v>Cheka</v>
      </c>
      <c r="J11" s="235" t="str">
        <v>Floop de stockli</v>
      </c>
    </row>
    <row r="12" spans="1:11">
      <c r="A12" s="287"/>
      <c r="B12" s="238" t="str">
        <v>Tijera falsa</v>
      </c>
      <c r="C12" s="238" t="str">
        <v>Cheka</v>
      </c>
      <c r="D12" s="235" t="str">
        <v>1/2 Sivado</v>
      </c>
      <c r="E12" s="235" t="str">
        <v>Bajada lateral</v>
      </c>
      <c r="F12" s="235" t="str">
        <v>Bajada lateral</v>
      </c>
      <c r="G12" s="235" t="str">
        <v>1/2 Recorrido lateral</v>
      </c>
      <c r="H12" s="235" t="str">
        <v>Bajada lateral</v>
      </c>
      <c r="I12" s="235" t="str">
        <v>Bajada 1/2 recorrido</v>
      </c>
      <c r="J12" s="235" t="str">
        <v xml:space="preserve">Floop con rusa </v>
      </c>
    </row>
    <row r="13" spans="1:11">
      <c r="A13" s="287"/>
      <c r="B13" s="238" t="str">
        <v xml:space="preserve">Corte tijera </v>
      </c>
      <c r="C13" s="238" t="str">
        <v>Bajada lateral</v>
      </c>
      <c r="D13" s="235" t="str">
        <v>Magyar</v>
      </c>
      <c r="E13" s="235" t="str">
        <v>Molino</v>
      </c>
      <c r="F13" s="235" t="str">
        <v>Molino</v>
      </c>
      <c r="G13" s="235" t="str">
        <v>Molino transversal</v>
      </c>
      <c r="H13" s="235" t="str">
        <v>Molino</v>
      </c>
      <c r="I13" s="235" t="str">
        <v>Magyar en punta (splindle)</v>
      </c>
      <c r="J13" s="235" t="str">
        <v>Wu Guonian</v>
      </c>
    </row>
    <row r="14" spans="1:11">
      <c r="A14" s="287"/>
      <c r="B14" s="238" t="str">
        <v>Molino en arzones</v>
      </c>
      <c r="C14" s="238" t="str">
        <v>Molino</v>
      </c>
      <c r="D14" s="235" t="str">
        <v>Circulo frontal</v>
      </c>
      <c r="E14" s="235" t="str">
        <v>1/4 Splindle</v>
      </c>
      <c r="F14" s="235" t="str">
        <v>1/4 Splindle</v>
      </c>
      <c r="G14" s="235" t="str">
        <v>1/2 Splindle</v>
      </c>
      <c r="H14" s="235" t="str">
        <v>1/4 Splindle</v>
      </c>
      <c r="I14" s="235" t="str">
        <v>Tong Fei</v>
      </c>
      <c r="J14" s="235" t="str">
        <v>Rusa 1080º</v>
      </c>
    </row>
    <row r="15" spans="1:11">
      <c r="A15" s="287"/>
      <c r="B15" s="238" t="str">
        <v>Bajada lateral</v>
      </c>
      <c r="C15" s="238" t="str">
        <v>1/4 de kher</v>
      </c>
      <c r="D15" s="235" t="str">
        <v>1/2 Splindle</v>
      </c>
      <c r="E15" s="235" t="str">
        <v>Finlandesa</v>
      </c>
      <c r="F15" s="235" t="str">
        <v>Finlandesa</v>
      </c>
      <c r="G15" s="235" t="str">
        <v>Molino</v>
      </c>
      <c r="H15" s="235" t="str">
        <v>Finlandesa</v>
      </c>
      <c r="I15" s="235" t="str">
        <v>Magyar</v>
      </c>
      <c r="J15" s="235" t="str">
        <v>Magyar</v>
      </c>
    </row>
    <row r="16" spans="1:11">
      <c r="A16" s="287"/>
      <c r="B16" s="238" t="str">
        <v>Molino</v>
      </c>
      <c r="C16" s="238" t="str">
        <v>1/2 splindle</v>
      </c>
      <c r="D16" s="235" t="str">
        <v>Thomas</v>
      </c>
      <c r="E16" s="235"/>
      <c r="F16" s="235"/>
      <c r="G16" s="235" t="str">
        <v>1/4 Splindle</v>
      </c>
      <c r="H16" s="235"/>
      <c r="I16" s="235" t="str">
        <v>Sivado</v>
      </c>
      <c r="J16" s="235" t="str">
        <v>1/2 Splindle</v>
      </c>
    </row>
    <row r="17" spans="1:10">
      <c r="A17" s="288"/>
      <c r="B17" s="239" t="str">
        <v>Finlandesa</v>
      </c>
      <c r="C17" s="239" t="str">
        <v>Finlandesa</v>
      </c>
      <c r="D17" s="236" t="str">
        <v>Finlandesa</v>
      </c>
      <c r="E17" s="236"/>
      <c r="F17" s="236"/>
      <c r="G17" s="236" t="str">
        <v>Finlandesa</v>
      </c>
      <c r="H17" s="236"/>
      <c r="I17" s="236" t="str">
        <v>Circulo a manos PA</v>
      </c>
      <c r="J17" s="236" t="str">
        <v>SDA a manos 2giros</v>
      </c>
    </row>
    <row r="18" spans="1:10">
      <c r="A18" s="289" t="s">
        <v>66</v>
      </c>
      <c r="B18" s="254" t="str" cm="1">
        <f t="array" ref="B18:B25">YERIK!A26:A33</f>
        <v>L sit colgado</v>
      </c>
      <c r="C18" s="254" t="str" cm="1">
        <f t="array" ref="C18:C25">FER!A26:A33</f>
        <v>L sit colgado</v>
      </c>
      <c r="D18" s="255" t="str" cm="1">
        <f t="array" ref="D18:D25">VELA!A26:A33</f>
        <v>L sit colgado</v>
      </c>
      <c r="E18" s="255" t="str" cm="1">
        <f t="array" ref="E18:E25">ISAAC!A27:A34</f>
        <v>Inglesa a pajaro</v>
      </c>
      <c r="F18" s="255" t="str" cm="1">
        <f t="array" ref="F18:F25">CHAMPI!A26:A33</f>
        <v>Disloque</v>
      </c>
      <c r="G18" s="255" t="str" cm="1">
        <f t="array" ref="G18:G25">MIKEL!A26:A33</f>
        <v>Kip</v>
      </c>
      <c r="H18" s="255" t="str" cm="1">
        <f t="array" ref="H18:H25">ALONSO!A27:A34</f>
        <v>Kip cristo</v>
      </c>
      <c r="I18" s="255" t="str" cm="1">
        <f t="array" ref="I18:I25">RICHIE!A26:A33</f>
        <v>Disloque</v>
      </c>
      <c r="J18" s="255" t="str" cm="1">
        <f t="array" ref="J18:J25">'DIEGO J'!A27:A34</f>
        <v>Molinary</v>
      </c>
    </row>
    <row r="19" spans="1:10">
      <c r="A19" s="289"/>
      <c r="B19" s="254" t="str">
        <v>Vela</v>
      </c>
      <c r="C19" s="254" t="str">
        <v>Vela</v>
      </c>
      <c r="D19" s="255" t="str">
        <v>Vela</v>
      </c>
      <c r="E19" s="255" t="str">
        <v>Cristo</v>
      </c>
      <c r="F19" s="255" t="str">
        <v>Kip</v>
      </c>
      <c r="G19" s="255" t="str">
        <v>Cristo</v>
      </c>
      <c r="H19" s="255" t="str">
        <v>Plancha dorsal</v>
      </c>
      <c r="I19" s="255" t="str">
        <v>Kip</v>
      </c>
      <c r="J19" s="255" t="str">
        <v>Tsukahara 2</v>
      </c>
    </row>
    <row r="20" spans="1:10">
      <c r="A20" s="289"/>
      <c r="B20" s="254" t="str">
        <v>Sandwich</v>
      </c>
      <c r="C20" s="254" t="str">
        <v>Sandwich</v>
      </c>
      <c r="D20" s="255" t="str">
        <v>Inglesa</v>
      </c>
      <c r="E20" s="255" t="str">
        <v>Plancha dorsal</v>
      </c>
      <c r="F20" s="255" t="str">
        <v>kato 3"</v>
      </c>
      <c r="G20" s="255" t="str">
        <v>Plancha dorsal</v>
      </c>
      <c r="H20" s="255" t="str">
        <v>Inlocada</v>
      </c>
      <c r="I20" s="255" t="str">
        <v>Cristo</v>
      </c>
      <c r="J20" s="255" t="str">
        <v>Kip</v>
      </c>
    </row>
    <row r="21" spans="1:10">
      <c r="A21" s="289"/>
      <c r="B21" s="254" t="str">
        <v>Inglesa</v>
      </c>
      <c r="C21" s="254" t="str">
        <v>Inglesa</v>
      </c>
      <c r="D21" s="255" t="str">
        <v>L sit</v>
      </c>
      <c r="E21" s="255" t="str">
        <v>Inglesa</v>
      </c>
      <c r="F21" s="255" t="str">
        <v>Inlocada</v>
      </c>
      <c r="G21" s="255" t="str">
        <v>Inglesa</v>
      </c>
      <c r="H21" s="255" t="str">
        <v>Inglesa</v>
      </c>
      <c r="I21" s="255" t="str">
        <v>Inglesa</v>
      </c>
      <c r="J21" s="255" t="str">
        <v>Kato 3"</v>
      </c>
    </row>
    <row r="22" spans="1:10">
      <c r="A22" s="289"/>
      <c r="B22" s="254" t="str">
        <v>L sit 2"</v>
      </c>
      <c r="C22" s="254" t="str">
        <v>L sit 2"</v>
      </c>
      <c r="D22" s="255" t="str">
        <v>Kato 3"</v>
      </c>
      <c r="E22" s="255" t="str">
        <v>L sit</v>
      </c>
      <c r="F22" s="255" t="str">
        <v>Inglesa</v>
      </c>
      <c r="G22" s="255" t="str">
        <v>L sit</v>
      </c>
      <c r="H22" s="255" t="str">
        <v>L sit</v>
      </c>
      <c r="I22" s="255" t="str">
        <v>Jonasson</v>
      </c>
      <c r="J22" s="255" t="str">
        <v>Jonasson</v>
      </c>
    </row>
    <row r="23" spans="1:10">
      <c r="A23" s="289"/>
      <c r="B23" s="254" t="str">
        <v>Parado de hombros</v>
      </c>
      <c r="C23" s="254" t="str">
        <v>Parado de hombros</v>
      </c>
      <c r="D23" s="255" t="str">
        <v>Gigante 3"</v>
      </c>
      <c r="E23" s="255" t="str">
        <v>Kato 3"</v>
      </c>
      <c r="F23" s="255" t="str">
        <v>L sit</v>
      </c>
      <c r="G23" s="255" t="str">
        <v>Kato 3"</v>
      </c>
      <c r="H23" s="255" t="str">
        <v>Kato 3"</v>
      </c>
      <c r="I23" s="255" t="str">
        <v xml:space="preserve">Molino </v>
      </c>
      <c r="J23" s="255" t="str">
        <v>Molino Sost</v>
      </c>
    </row>
    <row r="24" spans="1:10">
      <c r="A24" s="289"/>
      <c r="B24" s="254" t="str">
        <v>Dislocada</v>
      </c>
      <c r="C24" s="254" t="str">
        <v>Mantencion a impulso</v>
      </c>
      <c r="D24" s="255" t="str">
        <v>Molino 3"</v>
      </c>
      <c r="E24" s="255" t="str">
        <v>Molino Sostenido</v>
      </c>
      <c r="F24" s="255" t="str">
        <v>Dislocada</v>
      </c>
      <c r="G24" s="255" t="str">
        <v>Molino 3"</v>
      </c>
      <c r="H24" s="255" t="str">
        <v>Gigante Sostenido</v>
      </c>
      <c r="I24" s="255" t="str">
        <v>Gigante</v>
      </c>
      <c r="J24" s="255" t="str">
        <v>Gigante Sost</v>
      </c>
    </row>
    <row r="25" spans="1:10">
      <c r="A25" s="290"/>
      <c r="B25" s="256" t="str">
        <v xml:space="preserve">Doble atras en c </v>
      </c>
      <c r="C25" s="256" t="str">
        <v xml:space="preserve">Doble atras en c </v>
      </c>
      <c r="D25" s="257" t="str">
        <v xml:space="preserve">Doble atras en c </v>
      </c>
      <c r="E25" s="257" t="str">
        <v>Doble agrupado atras</v>
      </c>
      <c r="F25" s="257" t="str">
        <v>Doble agrupado atras</v>
      </c>
      <c r="G25" s="257" t="str">
        <v xml:space="preserve">Doble atras en c </v>
      </c>
      <c r="H25" s="257" t="str">
        <v>Doble extendido atras</v>
      </c>
      <c r="I25" s="257" t="str">
        <v>Multiple agrupado atras</v>
      </c>
      <c r="J25" s="257" t="str">
        <v>Doble doble</v>
      </c>
    </row>
    <row r="26" spans="1:10" ht="24.75" customHeight="1">
      <c r="A26" s="287" t="s">
        <v>5</v>
      </c>
      <c r="B26" s="238" t="str">
        <f>YERIK!A37</f>
        <v>Tsukahara en carpa</v>
      </c>
      <c r="C26" s="238" t="str">
        <f>FER!A37</f>
        <v>Tsukahara en C</v>
      </c>
      <c r="D26" s="235" t="str">
        <f>VELA!A37</f>
        <v>Tsukahara en carpa</v>
      </c>
      <c r="E26" s="235" t="str">
        <f>ISAAC!A38</f>
        <v>Tsukahara en carpa</v>
      </c>
      <c r="F26" s="235" t="str">
        <f>CHAMPI!A38</f>
        <v>Tsukahara en C</v>
      </c>
      <c r="G26" s="235" t="str">
        <f>MIKEL!A37</f>
        <v>Tsukahara ext</v>
      </c>
      <c r="H26" s="235" t="str" cm="1">
        <f t="array" ref="H26:H27">ALONSO!A38:A39</f>
        <v>Tsukahara ext con 1</v>
      </c>
      <c r="I26" s="235" t="str" cm="1">
        <f t="array" ref="I26:I27">RICHIE!A38:A39</f>
        <v>Tsukahara ext con 1 giro</v>
      </c>
      <c r="J26" s="235" t="str" cm="1">
        <f t="array" ref="J26:J27">'DIEGO J'!A39:A40</f>
        <v>Akopian</v>
      </c>
    </row>
    <row r="27" spans="1:10" ht="21.75" customHeight="1">
      <c r="A27" s="288"/>
      <c r="B27" s="239"/>
      <c r="C27" s="239"/>
      <c r="D27" s="236"/>
      <c r="E27" s="236"/>
      <c r="F27" s="236"/>
      <c r="G27" s="236"/>
      <c r="H27" s="236" t="str">
        <v>Tsukahara extendida</v>
      </c>
      <c r="I27" s="236" t="str">
        <v>Tsukahara extendida</v>
      </c>
      <c r="J27" s="236" t="str">
        <v>Tsukahara ext con 1/2</v>
      </c>
    </row>
    <row r="28" spans="1:10">
      <c r="A28" s="289" t="s">
        <v>78</v>
      </c>
      <c r="B28" s="254" t="str" cm="1">
        <f t="array" ref="B28:B33">YERIK!A41:A46</f>
        <v xml:space="preserve">Alemana </v>
      </c>
      <c r="C28" s="254" t="str" cm="1">
        <f t="array" ref="C28:C35">FER!A41:A48</f>
        <v xml:space="preserve">Alemana </v>
      </c>
      <c r="D28" s="255" t="str" cm="1">
        <f t="array" ref="D28:D35">VELA!A41:A48</f>
        <v xml:space="preserve">Alemana </v>
      </c>
      <c r="E28" s="255" t="str" cm="1">
        <f t="array" ref="E28:E34">ISAAC!A42:A48</f>
        <v xml:space="preserve">Alemana </v>
      </c>
      <c r="F28" s="255" t="str" cm="1">
        <f t="array" ref="F28:F35">CHAMPI!A42:A49</f>
        <v xml:space="preserve">Braq Subida de pecho </v>
      </c>
      <c r="G28" s="255" t="str" cm="1">
        <f t="array" ref="G28:G34">MIKEL!A41:A47</f>
        <v xml:space="preserve">Alemana </v>
      </c>
      <c r="H28" s="255" t="str" cm="1">
        <f t="array" ref="H28:H35">ALONSO!A43:A50</f>
        <v xml:space="preserve">Alemana </v>
      </c>
      <c r="I28" s="255" t="str" cm="1">
        <f t="array" ref="I28:I35">RICHIE!A43:A50</f>
        <v>Felge</v>
      </c>
      <c r="J28" s="255" t="str" cm="1">
        <f t="array" ref="J28:J35">'DIEGO J'!A44:A51</f>
        <v>Kato</v>
      </c>
    </row>
    <row r="29" spans="1:10">
      <c r="A29" s="289"/>
      <c r="B29" s="254" t="str">
        <v>Vuelo</v>
      </c>
      <c r="C29" s="254" t="str">
        <v>L-sit</v>
      </c>
      <c r="D29" s="255" t="str">
        <v>Vuelo</v>
      </c>
      <c r="E29" s="255" t="str">
        <v>L-sit</v>
      </c>
      <c r="F29" s="255" t="str">
        <v>Vuelo</v>
      </c>
      <c r="G29" s="255" t="str">
        <v>L-sit</v>
      </c>
      <c r="H29" s="255" t="str">
        <v>Kato</v>
      </c>
      <c r="I29" s="255" t="str">
        <v>L sit</v>
      </c>
      <c r="J29" s="255" t="str">
        <v>Felge a manos</v>
      </c>
    </row>
    <row r="30" spans="1:10">
      <c r="A30" s="289"/>
      <c r="B30" s="254" t="str">
        <v xml:space="preserve">Braq Subida de pecho </v>
      </c>
      <c r="C30" s="254" t="str">
        <v>Kato</v>
      </c>
      <c r="D30" s="255" t="str">
        <v>Kenmotsu</v>
      </c>
      <c r="E30" s="255" t="str">
        <v>Kato</v>
      </c>
      <c r="F30" s="255" t="str">
        <v>Cambio</v>
      </c>
      <c r="G30" s="255" t="str">
        <v>Kato</v>
      </c>
      <c r="H30" s="255" t="str">
        <v>Moy extendido</v>
      </c>
      <c r="I30" s="255" t="str">
        <v>Kato</v>
      </c>
      <c r="J30" s="255" t="str">
        <v>Bhavsar</v>
      </c>
    </row>
    <row r="31" spans="1:10">
      <c r="A31" s="289"/>
      <c r="B31" s="254" t="str">
        <v>L-sit</v>
      </c>
      <c r="C31" s="254" t="str">
        <v>Moy extendido</v>
      </c>
      <c r="D31" s="255" t="str">
        <v>Moy extendido</v>
      </c>
      <c r="E31" s="255" t="str">
        <v>Felge</v>
      </c>
      <c r="F31" s="255" t="str">
        <v>Felge</v>
      </c>
      <c r="G31" s="255" t="str">
        <v>Moy extendido</v>
      </c>
      <c r="H31" s="255" t="str">
        <v>Cambio</v>
      </c>
      <c r="I31" s="255" t="str">
        <v>Diamidov</v>
      </c>
      <c r="J31" s="255" t="str">
        <v>Tippelt</v>
      </c>
    </row>
    <row r="32" spans="1:10">
      <c r="A32" s="289"/>
      <c r="B32" s="254" t="str">
        <v>Kato</v>
      </c>
      <c r="C32" s="254" t="str">
        <v>Vuelo</v>
      </c>
      <c r="D32" s="255" t="str">
        <v>Felge</v>
      </c>
      <c r="E32" s="255" t="str">
        <v>Balleston aleman braq</v>
      </c>
      <c r="F32" s="255" t="str">
        <v>Balleston aleman braq</v>
      </c>
      <c r="G32" s="255" t="str">
        <v>Felge</v>
      </c>
      <c r="H32" s="255" t="str">
        <v>Kenmotsu</v>
      </c>
      <c r="I32" s="255" t="str">
        <v xml:space="preserve">Braq Subida de pecho </v>
      </c>
      <c r="J32" s="255" t="str">
        <v>Stutskhere</v>
      </c>
    </row>
    <row r="33" spans="1:10">
      <c r="A33" s="289"/>
      <c r="B33" s="254" t="str">
        <v>Mortal at ext en pun</v>
      </c>
      <c r="C33" s="254" t="str">
        <v xml:space="preserve">Braq Subida de pecho </v>
      </c>
      <c r="D33" s="255" t="str">
        <v>Kato</v>
      </c>
      <c r="E33" s="255" t="str">
        <v>Imp a manos de braq</v>
      </c>
      <c r="F33" s="255" t="str">
        <v>L sit</v>
      </c>
      <c r="G33" s="255" t="str">
        <v xml:space="preserve">Braq Subida de pecho </v>
      </c>
      <c r="H33" s="255" t="str">
        <v>Felge</v>
      </c>
      <c r="I33" s="255" t="str">
        <v>Cambio</v>
      </c>
      <c r="J33" s="255" t="str">
        <v>Diamidov</v>
      </c>
    </row>
    <row r="34" spans="1:10">
      <c r="A34" s="289"/>
      <c r="B34" s="254"/>
      <c r="C34" s="254" t="str">
        <v>Vuelo</v>
      </c>
      <c r="D34" s="255" t="str">
        <v xml:space="preserve">Braq Subida de pecho </v>
      </c>
      <c r="E34" s="255" t="str">
        <v>Mortal at ext en pun</v>
      </c>
      <c r="F34" s="255" t="str">
        <v>Kato</v>
      </c>
      <c r="G34" s="255" t="str">
        <v>Mortal adelante carpado</v>
      </c>
      <c r="H34" s="255" t="str">
        <v xml:space="preserve">Braq Subida de pecho </v>
      </c>
      <c r="I34" s="255" t="str">
        <v>Stutskhere</v>
      </c>
      <c r="J34" s="255" t="str">
        <v xml:space="preserve">Braq Subida de pecho </v>
      </c>
    </row>
    <row r="35" spans="1:10">
      <c r="A35" s="290"/>
      <c r="B35" s="256"/>
      <c r="C35" s="256" t="str">
        <v>Mortal at ext en pun</v>
      </c>
      <c r="D35" s="257" t="str">
        <v>Mortal at ext en pun</v>
      </c>
      <c r="E35" s="257"/>
      <c r="F35" s="257" t="str">
        <v>Mortal atr ext en pun</v>
      </c>
      <c r="G35" s="257"/>
      <c r="H35" s="257" t="str">
        <v>Doble mortal agrup atrás</v>
      </c>
      <c r="I35" s="257" t="str">
        <v>Doble en V atrás</v>
      </c>
      <c r="J35" s="257" t="str">
        <v>Doble mortal agru ade</v>
      </c>
    </row>
    <row r="36" spans="1:10">
      <c r="A36" s="287" t="s">
        <v>239</v>
      </c>
      <c r="B36" s="238" t="str" cm="1">
        <f t="array" ref="B36:B43">YERIK!A52:A59</f>
        <v>Subida de estomago</v>
      </c>
      <c r="C36" s="238" t="str" cm="1">
        <f t="array" ref="C36:C43">FER!A52:A59</f>
        <v>Alemana</v>
      </c>
      <c r="D36" s="235" t="str" cm="1">
        <f t="array" ref="D36:D43">VELA!A52:A59</f>
        <v>Voronin</v>
      </c>
      <c r="E36" s="235" t="str" cm="1">
        <f t="array" ref="E36:E43">ISAAC!A53:A60</f>
        <v>Gienger</v>
      </c>
      <c r="F36" s="235" t="str" cm="1">
        <f t="array" ref="F36:F43">CHAMPI!A53:A60</f>
        <v>Salvada</v>
      </c>
      <c r="G36" s="235" t="str" cm="1">
        <f t="array" ref="G36:G43">MIKEL!A52:A59</f>
        <v>Voronin</v>
      </c>
      <c r="H36" s="235" t="str" cm="1">
        <f t="array" ref="H36:H43">ALONSO!A54:A61</f>
        <v>Gienger</v>
      </c>
      <c r="I36" s="235" t="str" cm="1">
        <f t="array" ref="I36:I43">RICHIE!A54:A61</f>
        <v>Impulso a manos</v>
      </c>
      <c r="J36" s="235" t="str" cm="1">
        <f t="array" ref="J36:J43">'DIEGO J'!A55:A62</f>
        <v>Gigante</v>
      </c>
    </row>
    <row r="37" spans="1:10">
      <c r="A37" s="287"/>
      <c r="B37" s="238" t="str">
        <v>Molino</v>
      </c>
      <c r="C37" s="238" t="str">
        <v>Salvada</v>
      </c>
      <c r="D37" s="235" t="str">
        <v>Alemana</v>
      </c>
      <c r="E37" s="235" t="str">
        <v>Alemana a manos</v>
      </c>
      <c r="F37" s="235" t="str">
        <v>Gienger</v>
      </c>
      <c r="G37" s="235" t="str">
        <v>Alemana a manos</v>
      </c>
      <c r="H37" s="235" t="str">
        <v>Alemana</v>
      </c>
      <c r="I37" s="235" t="str">
        <v>Gigante</v>
      </c>
      <c r="J37" s="235" t="str">
        <v>Cassina</v>
      </c>
    </row>
    <row r="38" spans="1:10">
      <c r="A38" s="287"/>
      <c r="B38" s="238" t="str">
        <v>Cambio sencillo</v>
      </c>
      <c r="C38" s="238" t="str">
        <v>Gigante</v>
      </c>
      <c r="D38" s="235" t="str">
        <v>Salvada</v>
      </c>
      <c r="E38" s="235" t="str">
        <v xml:space="preserve">Molino </v>
      </c>
      <c r="F38" s="235" t="str">
        <v>Alemana</v>
      </c>
      <c r="G38" s="235" t="str">
        <v>Cambio sencillo</v>
      </c>
      <c r="H38" s="235" t="str">
        <v>Molino</v>
      </c>
      <c r="I38" s="235" t="str">
        <v>Tkachev</v>
      </c>
      <c r="J38" s="235" t="str">
        <v>Kolman</v>
      </c>
    </row>
    <row r="39" spans="1:10">
      <c r="A39" s="287"/>
      <c r="B39" s="238" t="str">
        <v>Gigante</v>
      </c>
      <c r="C39" s="238" t="str">
        <v>Cambio directo</v>
      </c>
      <c r="D39" s="235" t="str">
        <v>Gigante</v>
      </c>
      <c r="E39" s="235" t="str">
        <v>Endo</v>
      </c>
      <c r="F39" s="235" t="str">
        <v>Molino</v>
      </c>
      <c r="G39" s="235" t="str">
        <v xml:space="preserve">Molino </v>
      </c>
      <c r="H39" s="235" t="str">
        <v>Cambio sencillo</v>
      </c>
      <c r="I39" s="235" t="str">
        <v>Stalder</v>
      </c>
      <c r="J39" s="235" t="str">
        <v>Stalder</v>
      </c>
    </row>
    <row r="40" spans="1:10">
      <c r="A40" s="287"/>
      <c r="B40" s="238" t="str">
        <v>Descolgada</v>
      </c>
      <c r="C40" s="238" t="str">
        <v>Molino</v>
      </c>
      <c r="D40" s="235" t="str">
        <v>Cambio directo</v>
      </c>
      <c r="E40" s="235" t="str">
        <v>Cambio sencillo</v>
      </c>
      <c r="F40" s="235" t="str">
        <v>Endo</v>
      </c>
      <c r="G40" s="235" t="str">
        <v>Cambio sencillo</v>
      </c>
      <c r="H40" s="235" t="str">
        <v>Gigante</v>
      </c>
      <c r="I40" s="235" t="str">
        <v>Cambio directo</v>
      </c>
      <c r="J40" s="235" t="str">
        <v>Cambio directo</v>
      </c>
    </row>
    <row r="41" spans="1:10">
      <c r="A41" s="287"/>
      <c r="B41" s="238" t="str">
        <v>Alemana</v>
      </c>
      <c r="C41" s="238" t="str">
        <v>Cambio sencillo</v>
      </c>
      <c r="D41" s="235" t="str">
        <v>Molino</v>
      </c>
      <c r="E41" s="235" t="str">
        <v>Gigante</v>
      </c>
      <c r="F41" s="235" t="str">
        <v>Cambio sencillo</v>
      </c>
      <c r="G41" s="235" t="str">
        <v>Gigante x2</v>
      </c>
      <c r="H41" s="235" t="str">
        <v>Gigante Saltado</v>
      </c>
      <c r="I41" s="235" t="str">
        <v>Endo</v>
      </c>
      <c r="J41" s="235" t="str">
        <v>Endo</v>
      </c>
    </row>
    <row r="42" spans="1:10">
      <c r="A42" s="287"/>
      <c r="B42" s="238" t="str">
        <v>Impulso a vuelo</v>
      </c>
      <c r="C42" s="238" t="str">
        <v>Gigante</v>
      </c>
      <c r="D42" s="235" t="str">
        <v>Cambio sencillo</v>
      </c>
      <c r="E42" s="235" t="str">
        <v>Salvada</v>
      </c>
      <c r="F42" s="235" t="str">
        <v>Gigante x2</v>
      </c>
      <c r="G42" s="235" t="str">
        <v>Salvada</v>
      </c>
      <c r="H42" s="235" t="str">
        <v>Salvada</v>
      </c>
      <c r="I42" s="235" t="str">
        <v>Adler con 1/2</v>
      </c>
      <c r="J42" s="235" t="str">
        <v>Adler con 1/2</v>
      </c>
    </row>
    <row r="43" spans="1:10">
      <c r="A43" s="288"/>
      <c r="B43" s="240" t="str">
        <v>Mortal atras extendido</v>
      </c>
      <c r="C43" s="240" t="str">
        <v>Doble agrupado atras</v>
      </c>
      <c r="D43" s="237" t="str">
        <v>Doble extendido atras</v>
      </c>
      <c r="E43" s="237" t="str">
        <v>Doble agrupado atras</v>
      </c>
      <c r="F43" s="237" t="str">
        <v>Doble extendido atras</v>
      </c>
      <c r="G43" s="237" t="str">
        <v>Doble extendido atras</v>
      </c>
      <c r="H43" s="237" t="str">
        <v>Doble extendido atras</v>
      </c>
      <c r="I43" s="237" t="str">
        <v>Multiple extendido atras</v>
      </c>
      <c r="J43" s="237" t="str">
        <v>Fedorchenko</v>
      </c>
    </row>
    <row r="44" spans="1:10">
      <c r="A44" s="265"/>
      <c r="B44" s="234"/>
      <c r="C44" s="234"/>
      <c r="D44" s="234"/>
      <c r="E44" s="234"/>
      <c r="F44" s="234"/>
      <c r="G44" s="234"/>
      <c r="H44" s="234"/>
      <c r="I44" s="234"/>
      <c r="J44" s="234"/>
    </row>
  </sheetData>
  <mergeCells count="6">
    <mergeCell ref="A36:A43"/>
    <mergeCell ref="A2:A9"/>
    <mergeCell ref="A10:A17"/>
    <mergeCell ref="A18:A25"/>
    <mergeCell ref="A26:A27"/>
    <mergeCell ref="A28:A35"/>
  </mergeCells>
  <printOptions horizontalCentered="1" verticalCentered="1"/>
  <pageMargins left="0.25" right="0.25" top="0.75" bottom="0.75" header="0.3" footer="0.3"/>
  <pageSetup paperSize="9" scale="90" fitToWidth="0" fitToHeight="0" orientation="portrait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SM-G975F</dc:creator>
  <cp:keywords/>
  <dc:description/>
  <cp:lastModifiedBy>José Manuel Jaime Morales Gimnasia Varonil Kids Center</cp:lastModifiedBy>
  <cp:revision/>
  <dcterms:created xsi:type="dcterms:W3CDTF">2022-03-10T21:00:41Z</dcterms:created>
  <dcterms:modified xsi:type="dcterms:W3CDTF">2026-03-19T21:03:44Z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b9abb094837a42af8113397a4c0cd2d6</vt:lpwstr>
  </property>
</Properties>
</file>